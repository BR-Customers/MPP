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acquesPotgieter\Documents\Dev\MPP\docs\fat\"/>
    </mc:Choice>
  </mc:AlternateContent>
  <xr:revisionPtr revIDLastSave="0" documentId="13_ncr:1_{DFDE7CC8-CA9E-4C0E-BE55-B59C48396E63}" xr6:coauthVersionLast="47" xr6:coauthVersionMax="47" xr10:uidLastSave="{00000000-0000-0000-0000-000000000000}"/>
  <bookViews>
    <workbookView xWindow="0" yWindow="360" windowWidth="29040" windowHeight="15720" firstSheet="8" activeTab="13" xr2:uid="{00000000-000D-0000-FFFF-FFFF00000000}"/>
  </bookViews>
  <sheets>
    <sheet name="Cover" sheetId="1" r:id="rId1"/>
    <sheet name="Coverage" sheetId="2" r:id="rId2"/>
    <sheet name="Environment &amp; Platform" sheetId="3" r:id="rId3"/>
    <sheet name="Plant Hierarchy" sheetId="4" r:id="rId4"/>
    <sheet name="Item Master" sheetId="5" r:id="rId5"/>
    <sheet name="Routes &amp; BOMs" sheetId="6" r:id="rId6"/>
    <sheet name="Op Templates &amp; Quality Specs" sheetId="7" r:id="rId7"/>
    <sheet name="Container Configs" sheetId="8" r:id="rId8"/>
    <sheet name="Code Tables" sheetId="9" r:id="rId9"/>
    <sheet name="Shift Schedules" sheetId="10" r:id="rId10"/>
    <sheet name="PLC Device Mapping" sheetId="11" r:id="rId11"/>
    <sheet name="Users &amp; Attribution" sheetId="12" r:id="rId12"/>
    <sheet name="Terminal &amp; Login" sheetId="13" r:id="rId13"/>
    <sheet name="Die Cast" sheetId="14" r:id="rId14"/>
    <sheet name="Trim" sheetId="15" r:id="rId15"/>
    <sheet name="Machining" sheetId="16" r:id="rId16"/>
    <sheet name="Assembly" sheetId="17" r:id="rId17"/>
    <sheet name="Third-Party Inspection" sheetId="18" r:id="rId18"/>
    <sheet name="Quality Capture &amp; Holds" sheetId="19" r:id="rId19"/>
    <sheet name="Movements &amp; Inventory" sheetId="20" r:id="rId20"/>
    <sheet name="LOT Traceability &amp; Genealogy" sheetId="21" r:id="rId21"/>
    <sheet name="Shift &amp; Downtime" sheetId="22" r:id="rId22"/>
    <sheet name="Labels &amp; Printing" sheetId="23" r:id="rId23"/>
    <sheet name="Audit Browser" sheetId="24" r:id="rId2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6" i="1" l="1"/>
  <c r="E45" i="1"/>
  <c r="D45" i="1"/>
  <c r="C45" i="1"/>
  <c r="F45" i="1" s="1"/>
  <c r="E44" i="1"/>
  <c r="D44" i="1"/>
  <c r="C44" i="1"/>
  <c r="F44" i="1" s="1"/>
  <c r="E43" i="1"/>
  <c r="D43" i="1"/>
  <c r="C43" i="1"/>
  <c r="F43" i="1" s="1"/>
  <c r="E42" i="1"/>
  <c r="D42" i="1"/>
  <c r="C42" i="1"/>
  <c r="F42" i="1" s="1"/>
  <c r="E41" i="1"/>
  <c r="D41" i="1"/>
  <c r="C41" i="1"/>
  <c r="F41" i="1" s="1"/>
  <c r="E40" i="1"/>
  <c r="D40" i="1"/>
  <c r="C40" i="1"/>
  <c r="F40" i="1" s="1"/>
  <c r="E39" i="1"/>
  <c r="D39" i="1"/>
  <c r="C39" i="1"/>
  <c r="F39" i="1" s="1"/>
  <c r="E38" i="1"/>
  <c r="D38" i="1"/>
  <c r="C38" i="1"/>
  <c r="F38" i="1" s="1"/>
  <c r="E37" i="1"/>
  <c r="D37" i="1"/>
  <c r="C37" i="1"/>
  <c r="F37" i="1" s="1"/>
  <c r="E36" i="1"/>
  <c r="D36" i="1"/>
  <c r="C36" i="1"/>
  <c r="F36" i="1" s="1"/>
  <c r="E35" i="1"/>
  <c r="D35" i="1"/>
  <c r="C35" i="1"/>
  <c r="F35" i="1" s="1"/>
  <c r="E34" i="1"/>
  <c r="D34" i="1"/>
  <c r="C34" i="1"/>
  <c r="F34" i="1" s="1"/>
  <c r="E33" i="1"/>
  <c r="D33" i="1"/>
  <c r="C33" i="1"/>
  <c r="F33" i="1" s="1"/>
  <c r="E32" i="1"/>
  <c r="D32" i="1"/>
  <c r="C32" i="1"/>
  <c r="F32" i="1" s="1"/>
  <c r="E31" i="1"/>
  <c r="D31" i="1"/>
  <c r="C31" i="1"/>
  <c r="F31" i="1" s="1"/>
  <c r="E30" i="1"/>
  <c r="D30" i="1"/>
  <c r="C30" i="1"/>
  <c r="F30" i="1" s="1"/>
  <c r="E29" i="1"/>
  <c r="D29" i="1"/>
  <c r="C29" i="1"/>
  <c r="F29" i="1" s="1"/>
  <c r="E28" i="1"/>
  <c r="D28" i="1"/>
  <c r="C28" i="1"/>
  <c r="F28" i="1" s="1"/>
  <c r="E27" i="1"/>
  <c r="D27" i="1"/>
  <c r="C27" i="1"/>
  <c r="F27" i="1" s="1"/>
  <c r="E26" i="1"/>
  <c r="D26" i="1"/>
  <c r="C26" i="1"/>
  <c r="F26" i="1" s="1"/>
  <c r="E25" i="1"/>
  <c r="D25" i="1"/>
  <c r="C25" i="1"/>
  <c r="F25" i="1" s="1"/>
  <c r="E24" i="1"/>
  <c r="D24" i="1"/>
  <c r="C24" i="1"/>
  <c r="C46" i="1" l="1"/>
  <c r="D46" i="1"/>
  <c r="E46" i="1"/>
  <c r="F24" i="1"/>
  <c r="F46" i="1" s="1"/>
</calcChain>
</file>

<file path=xl/sharedStrings.xml><?xml version="1.0" encoding="utf-8"?>
<sst xmlns="http://schemas.openxmlformats.org/spreadsheetml/2006/main" count="4646" uniqueCount="2842">
  <si>
    <t>TestID</t>
  </si>
  <si>
    <t>Workflow</t>
  </si>
  <si>
    <t>Precondition</t>
  </si>
  <si>
    <t>Step</t>
  </si>
  <si>
    <t>Expected Result</t>
  </si>
  <si>
    <t>Result</t>
  </si>
  <si>
    <t>Witness</t>
  </si>
  <si>
    <t>Date</t>
  </si>
  <si>
    <t>Notes</t>
  </si>
  <si>
    <t>FDS-05-001  —  LOT Uniqueness      (FRS 3.9.6)</t>
  </si>
  <si>
    <t>FAT-TRC-010</t>
  </si>
  <si>
    <t>LOT identity</t>
  </si>
  <si>
    <t>Any LOT created in the system</t>
  </si>
  <si>
    <t>Attempt to create a LOT with a duplicate LOT name</t>
  </si>
  <si>
    <t>System rejects the duplicate; LOT names are unique and conform to the MPP format</t>
  </si>
  <si>
    <t>Pass</t>
  </si>
  <si>
    <t>insp</t>
  </si>
  <si>
    <t>[insp] LOT uniqueness enforced: UQ_Lot_LotName unique constraint (0020) + friendly pre-check in Lots.Lot_Create (R__Lots_Lot_Create.sql:200-210) rejecting duplicate LotName; race backstop via 2627/2601 in CATCH. Die-cast LTT format validated 9-digit via Lots.ufn_IsValidExternalLtt; minted names use FormatString 'MESL{0:D7}'.</t>
  </si>
  <si>
    <t>FAT-TRC-020</t>
  </si>
  <si>
    <t>A LOT exists</t>
  </si>
  <si>
    <t>Open the LOT detail and compare the LOT ID and LOT Name</t>
  </si>
  <si>
    <t>LOT ID is used as the LOT Name (identical)</t>
  </si>
  <si>
    <t>[insp] needs live/witness: MANUAL. System uses a BIGINT IDENTITY surrogate Lot.Id distinct from the human-facing LotName (MESL/LTT string). Whether the LOT detail UI presents a 'LOT ID' field identical to 'LOT Name' is a display/interpretation call needing the LotDetail view witnessed live.</t>
  </si>
  <si>
    <t>FDS-05-002  —  LTT Pre-Printing      (FRS 2.2.1)</t>
  </si>
  <si>
    <t>FAT-TRC-130</t>
  </si>
  <si>
    <t>LTT pre-printing</t>
  </si>
  <si>
    <t>A batch of pre-printed LTT barcodes; none pre-registered</t>
  </si>
  <si>
    <t>Scan an unused LTT to create a LOT then rescan an already-used one</t>
  </si>
  <si>
    <t>Creating on first scan succeeds (no pre-registration); rescanning a used LTT is rejected as duplicate</t>
  </si>
  <si>
    <t>[insp] Lots.Lot_Create D4 path (@LotName supplied): pre-printed LTT used verbatim, no pre-registration, does NOT burn the counter (R__Lots_Lot_Create.sql:172-211,395-398). Rescanning a used LTT rejected as duplicate via the LotName uniqueness pre-check + UQ_Lot_LotName.</t>
  </si>
  <si>
    <t>FDS-05-003  —  LOT Attributes      (FRS 3.9.6, 2.2.2)</t>
  </si>
  <si>
    <t>FAT-TRC-030</t>
  </si>
  <si>
    <t>LOT attributes</t>
  </si>
  <si>
    <t>Review the LOT attributes on LOT detail</t>
  </si>
  <si>
    <t>Part number, piece count, max piece count, serial range (where applicable), weight, vendor lot, and hold state are all present</t>
  </si>
  <si>
    <t>[insp] All listed attributes exist on Lots.Lot and are returned by Lots.Lot_Get: ItemPartNumber, PieceCount, MaxPieceCount, MinSerialNumber/MaxSerialNumber, Weight/WeightUomId, VendorLotNumber, and hold state via LotStatusCode (R__Lots_Lot_Get.sql:20-55). LotDetail view exists.</t>
  </si>
  <si>
    <t>FDS-05-036  —  Lazy, Operator-Driven LOT Creation</t>
  </si>
  <si>
    <t>FAT-TRC-150</t>
  </si>
  <si>
    <t>Lazy operator-driven create</t>
  </si>
  <si>
    <t>No LOT pre-exists for an operation</t>
  </si>
  <si>
    <t>Create the LOT at the moment of the operator's first action</t>
  </si>
  <si>
    <t>The LOT record is created on demand at operator action (lazy), never pre-provisioned</t>
  </si>
  <si>
    <t>[insp] Lots.Lot_Create is a single lazy on-demand invocation at operator action; no pre-provisioning path exists. FDS-05-036 marked Built in ARC2_FDS_CONFORMANCE.md.</t>
  </si>
  <si>
    <t>FDS-05-012  —  Merge Capability      (FRS 3.9.13)</t>
  </si>
  <si>
    <t>FAT-TRC-070</t>
  </si>
  <si>
    <t>Merge genealogy</t>
  </si>
  <si>
    <t>Two same-part Good LOTs meeting merge rules</t>
  </si>
  <si>
    <t>Merge the LOTs into a new LOT</t>
  </si>
  <si>
    <t>A new LOT is created; merge rules (part match, die-rank, quality status) are enforced; genealogy retained</t>
  </si>
  <si>
    <t>[insp] Lots.Lot_Merge creates a fresh primary output LOT, enforces same-Item (R__Lots_Lot_Merge.sql:194-205), die-rank compatibility (242-281), all-Good gating (211-227), and records Merge genealogy edges (RelationshipTypeId=2) + closure per source (379-420).</t>
  </si>
  <si>
    <t>FDS-05-025  —  Post-Sort Requirement      (FRS 3.13.1)</t>
  </si>
  <si>
    <t>FAT-TRC-170</t>
  </si>
  <si>
    <t>Post-sort merge gate</t>
  </si>
  <si>
    <t>Two LOTs proposed for merge that have not completed sort/inspection</t>
  </si>
  <si>
    <t>Attempt the merge</t>
  </si>
  <si>
    <t>Merge is gated — LOTs must satisfy the post-sort requirement before merging</t>
  </si>
  <si>
    <t>Fail</t>
  </si>
  <si>
    <t>Verify: sort-completion gate | [insp] Missing. Lots.Lot_Merge validations (part/status/die-rank) contain NO sort/inspection-completion gate; sort infrastructure unbuilt. FDS-05-025 marked Missing in ARC2_FDS_CONFORMANCE.md (P9-1). Merge is not gated on a post-sort requirement. || RE-CHECK 2026-08-11: REFRAMED (future) - sorting is a same-part consume-mint at an unbuilt sort station, not a Lot_Merge gate.</t>
  </si>
  <si>
    <t>FDS-05-026  —  Part Number Match      (FRS 3.9.13)</t>
  </si>
  <si>
    <t>FAT-TRC-180</t>
  </si>
  <si>
    <t>Merge part-number match</t>
  </si>
  <si>
    <t>Two LOTs of different part numbers</t>
  </si>
  <si>
    <t>Attempt to merge them</t>
  </si>
  <si>
    <t>Merge is rejected — only same-part-number LOTs may merge</t>
  </si>
  <si>
    <t>[insp] Lots.Lot_Merge rejects any source whose ItemId differs from @OutputItemId with 'All source LOTs must share the same Item' (R__Lots_Lot_Merge.sql:194-205).</t>
  </si>
  <si>
    <t>FDS-05-027  —  Die Rank Compatibility</t>
  </si>
  <si>
    <t>FAT-TRC-190</t>
  </si>
  <si>
    <t>Die-rank compatibility</t>
  </si>
  <si>
    <t>Two same-part LOTs from incompatible die ranks</t>
  </si>
  <si>
    <t>Merge is rejected on die-rank incompatibility (DieRankCompatibility); a supervisor override is available where policy allows</t>
  </si>
  <si>
    <t>[insp] Lots.Lot_Merge builds the distinct die-rank set from source ToolId-&gt;Tool.DieRankId and rejects incompatible pairs (no CanMix=1 row in Tools.DieRankCompatibility) unless @SupervisorOverride=1 (R__Lots_Lot_Merge.sql:242-281). Override path present. (DieRankCompatibility seed S-08 is a separate deploy-time owed item; the logic is built.)</t>
  </si>
  <si>
    <t>FDS-05-028  —  Quality Status Gating</t>
  </si>
  <si>
    <t>FAT-TRC-200</t>
  </si>
  <si>
    <t>Merge quality-status gating</t>
  </si>
  <si>
    <t>Two LOTs where one is not Good</t>
  </si>
  <si>
    <t>Merge is rejected — all merge inputs must be Good (non-Good blocked)</t>
  </si>
  <si>
    <t>[insp] Lots.Lot_Merge rejects when any source status &lt;&gt; Good, naming the offending status (R__Lots_Lot_Merge.sql:211-227). Non-Good (Hold/Scrap/Closed) blocked.</t>
  </si>
  <si>
    <t>FDS-05-029  —  Machining Is Not a Merge — FIFO-by-Cavity      (FRS 3.13.1)</t>
  </si>
  <si>
    <t>FAT-TRC-210</t>
  </si>
  <si>
    <t>Machining is not a merge</t>
  </si>
  <si>
    <t>A machining line consuming multiple castings</t>
  </si>
  <si>
    <t>Inspect how machining combines input LOTs</t>
  </si>
  <si>
    <t>Machining uses FIFO-by-cavity consume-mint, not a merge; no merge genealogy record is created</t>
  </si>
  <si>
    <t>[insp] Machining consumption is a consume-mint using Consumption genealogy (RelationshipTypeId=3) via Lots.LotGenealogy_RecordConsumption / Workorder.MachiningOut_Mint, NOT a Merge edge. Route-driven FIFO queue (Lot_GetWipQueueByLocation). FDS-05-029 Built in ARC2_FDS_CONFORMANCE.md. No merge genealogy record is created for machining.</t>
  </si>
  <si>
    <t>FDS-05-030  —  Post-Merge LOT Has NULL Tool / Cavity</t>
  </si>
  <si>
    <t>FAT-TRC-220</t>
  </si>
  <si>
    <t>Post-merge null tool/cavity</t>
  </si>
  <si>
    <t>A LOT produced by a merge</t>
  </si>
  <si>
    <t>Inspect the merged output LOT's tool/cavity</t>
  </si>
  <si>
    <t>Merged LOT has NULL Tool/Cavity (provenance preserved via genealogy to the inputs)</t>
  </si>
  <si>
    <t>[insp] Lots.Lot_Merge inserts the output LOT with ToolId=NULL, ToolCavityId=NULL (blended origin 'Manufactured'), provenance preserved via genealogy per FDS-05-030 (R__Lots_Lot_Merge.sql:347-360, header lines 34-37).</t>
  </si>
  <si>
    <t>FDS-05-016  —  Genealogy Graph</t>
  </si>
  <si>
    <t>FAT-TRC-060</t>
  </si>
  <si>
    <t>Split genealogy</t>
  </si>
  <si>
    <t>A LOT with sufficient pieces</t>
  </si>
  <si>
    <t>Split the LOT into sub-LOTs</t>
  </si>
  <si>
    <t>Sub-LOT → parent relationship is retained; genealogy edge and closure are recorded</t>
  </si>
  <si>
    <t>[insp] Lots.Lot_Split creates child with ParentLotId set, inserts a Split genealogy edge (RelationshipTypeId=1) and the depth+1 LotGenealogyClosure rows for every parent ancestor (R__Lots_Lot_Split.sql:337-376). Sub-LOT-&gt;parent relationship + edge + closure all recorded.</t>
  </si>
  <si>
    <t>FAT-TRC-110</t>
  </si>
  <si>
    <t>Quality linkage through splits</t>
  </si>
  <si>
    <t>A LOT with a quality result that is later split</t>
  </si>
  <si>
    <t>Split the inspected LOT and view the sub-LOT</t>
  </si>
  <si>
    <t>Quality-result linkage is preserved through the split</t>
  </si>
  <si>
    <t>[insp] needs live/witness: LIVE. Quality-result capture (QualitySample/Result) is itself unbuilt (FDS-08-011 Missing per conformance matrix), and there is no proc copying quality results to split children; linkage would only be via genealogy-closure reachability. Whether 'quality-result linkage preserved through split' holds needs a live run and depends on unbuilt inspection capture.</t>
  </si>
  <si>
    <t>FDS-05-017  —  Bidirectional Query      (FRS 3.13.2)</t>
  </si>
  <si>
    <t>FAT-TRC-080</t>
  </si>
  <si>
    <t>Genealogy to origin</t>
  </si>
  <si>
    <t>A LOT that has been split/consumed</t>
  </si>
  <si>
    <t>Open the genealogy view and trace backward</t>
  </si>
  <si>
    <t>Full genealogy is presented back to the originating LOT(s)</t>
  </si>
  <si>
    <t>[insp] Lots.Lot_GetGenealogyTree returns all ancestors back to originating LOT(s) via the O(1) closure table (Ancestors branch, Depth&gt;0) (R__Lots_Lot_GetGenealogyTree.sql:61-74); GenealogyViewer view + Lot_GetParents also present. Full backward genealogy available.</t>
  </si>
  <si>
    <t>FAT-TRC-090</t>
  </si>
  <si>
    <t>LOT history</t>
  </si>
  <si>
    <t>A LOT with production/movement/reject history</t>
  </si>
  <si>
    <t>Open LOT detail history</t>
  </si>
  <si>
    <t>Complete process history + genealogy for the life of the LOT is shown, timestamps in Eastern time</t>
  </si>
  <si>
    <t>[insp] Lots.Lot_GetAttributeHistory UNIONs the full lifecycle: attribute, status, movement, pause/resume, genealogy (both directions), label, production, reject, and die-cast contribution streams, ordered chronologically, with EventAt converted UTC-&gt;Eastern (R__Lots_Lot_GetAttributeHistory.sql:72, streams 1-10). Complete process history + genealogy, ET timestamps.</t>
  </si>
  <si>
    <t>FDS-05-018  —  Genealogy Report</t>
  </si>
  <si>
    <t>FAT-TRC-160</t>
  </si>
  <si>
    <t>Genealogy report</t>
  </si>
  <si>
    <t>A LOT with multi-level genealogy</t>
  </si>
  <si>
    <t>Open the genealogy report/view</t>
  </si>
  <si>
    <t>The report presents the full parent/child tree with production events and is viewable on screen</t>
  </si>
  <si>
    <t>2026-08-11</t>
  </si>
  <si>
    <t>[insp] needs live/witness: LIVE. On-screen full parent/child tree is built (GenealogyViewer view + Lots.Lot_GetGenealogyTree). Whether the genealogy report also surfaces production events (production-event rows live in the GlobalTrace composition, not confirmed inside GenealogyViewer) needs the view witnessed live. || RE-CHECK 2026-08-11: -&gt;Pass on-screen genealogy tree + Lot Detail report genealogy page (Reporting Module).</t>
  </si>
  <si>
    <t>FDS-05-021  —  Attribute Change Log      (FRS 3.9.6)</t>
  </si>
  <si>
    <t>FAT-TRC-040</t>
  </si>
  <si>
    <t>Attribute-change audit</t>
  </si>
  <si>
    <t>Change a LOT attribute (e.g. piece count) as an authorized user</t>
  </si>
  <si>
    <t>The change is recorded in the LOT attribute-change history with old/new value, user, and station</t>
  </si>
  <si>
    <t>[insp] Attribute changes recorded in Lots.LotAttributeChange with OldValue, NewValue, ChangedByUserId (user) and TerminalLocationId (station) (R__Lots_Lot_UpdateAttribute.sql:155-156); surfaced by Lot_GetAttributeHistory stream 1. FDS-05-021 Built.</t>
  </si>
  <si>
    <t>FAT-TRC-050</t>
  </si>
  <si>
    <t>Attribute-change authorization</t>
  </si>
  <si>
    <t>Logged in as an operator without elevation</t>
  </si>
  <si>
    <t>Attempt a restricted LOT-attribute change</t>
  </si>
  <si>
    <t>Change is blocked/elevation-gated; when performed it is audited with the logged-in user and terminal</t>
  </si>
  <si>
    <t>[insp] needs live/witness: LIVE. Lot_UpdateAttribute audits user+terminal (evidenced), but per-action AD elevation gating is a session/UI concern; ARC2_FDS_CONFORMANCE.md notes FDS-04-007 elevation is wired into zero views. Whether the restricted change is blocked/elevation-gated must be witnessed live.</t>
  </si>
  <si>
    <t>FDS-12-001  —  LOT Genealogy Report      (FRS 3.13.2)</t>
  </si>
  <si>
    <t>FAT-TRC-100</t>
  </si>
  <si>
    <t>Genealogy report export</t>
  </si>
  <si>
    <t>A finished-good LOT with full genealogy</t>
  </si>
  <si>
    <t>Request the genealogy report and export</t>
  </si>
  <si>
    <t>Report is viewable on screen and exports to Excel or PDF; selectable by serial/lot/sub-lot</t>
  </si>
  <si>
    <t>[insp] Export missing. No Excel/PDF export exists for genealogy (grep of ignition py + GenealogyViewer/GlobalTrace views shows no export/pdf/csv). FDS-05-018 'no printable export (P9-4)' and FDS-12-014 export Missing in ARC2_FDS_CONFORMANCE.md. On-screen view exists but the required export does not. || RE-CHECK 2026-08-11: -&gt;Pass Lot Detail report (2pg: header+genealogy+events) render-verified; Honda-format export = TRC-310.</t>
  </si>
  <si>
    <t>FDS-12-002  —  Serialized Item Search      (FRS 3.13.2)</t>
  </si>
  <si>
    <t>FAT-TRC-230</t>
  </si>
  <si>
    <t>Serialized item search</t>
  </si>
  <si>
    <t>A serialized part with a known serial</t>
  </si>
  <si>
    <t>Search by serial number in the trace/search tool</t>
  </si>
  <si>
    <t>The serialized part resolves with its producing LOT and container</t>
  </si>
  <si>
    <t>[insp] needs live/witness: LIVE. Lots.GlobalTrace_Resolve and SerializedPart_GetBySerial resolve a serial to its ProducingLotId, but neither surfaces the containing Container (serial-&gt;container link exists via ContainerSerial but is not joined in the serial branch). Whether the Global Trace UI shows producing LOT AND container needs live witnessing.</t>
  </si>
  <si>
    <t>FDS-12-003  —  Container Search</t>
  </si>
  <si>
    <t>FAT-TRC-240</t>
  </si>
  <si>
    <t>Container search</t>
  </si>
  <si>
    <t>A known container</t>
  </si>
  <si>
    <t>Search by container / AIM shipper id</t>
  </si>
  <si>
    <t>The container resolves with its contents and shipping label</t>
  </si>
  <si>
    <t>[insp] needs live/witness: LIVE. GlobalTrace_Resolve resolves a container id to its source LOTs and an AIM shipper id to its container, but 'contents and shipping label' presentation is composed in the trace UI. Needs the Global Trace view witnessed live to confirm contents list + shipping label surface.</t>
  </si>
  <si>
    <t>FDS-12-004  —  LOT Search</t>
  </si>
  <si>
    <t>FAT-TRC-250</t>
  </si>
  <si>
    <t>LOT search</t>
  </si>
  <si>
    <t>A LOT known by LOT/part/vendor</t>
  </si>
  <si>
    <t>Search by LOT number, part number, or vendor lot</t>
  </si>
  <si>
    <t>Matching LOTs are returned with status and location</t>
  </si>
  <si>
    <t>[insp] Lots.Lot_Search filters by LotName / VendorLotNumber / Item.PartNumber (+ status/origin) and returns LotStatusCode and CurrentLocationName (R__Lots_Lot_Search.sql:19-44). LotSearch view exists. Matching LOTs returned with status and location.</t>
  </si>
  <si>
    <t>FDS-12-009  —  In-Process LOT Tracking</t>
  </si>
  <si>
    <t>FAT-TRC-260</t>
  </si>
  <si>
    <t>In-process LOT tracking</t>
  </si>
  <si>
    <t>LOTs in process across the plant</t>
  </si>
  <si>
    <t>Open the in-process LOT report</t>
  </si>
  <si>
    <t>Active LOTs are listed with their current location and status</t>
  </si>
  <si>
    <t>Verify: report screen availability | [insp] needs live/witness: LIVE. No dedicated plant-wide in-process active-LOT report view found; Oee.Lot_GetInProcessByLocation is location-scoped and FDS-12-009 was Missing (dashboard tile stub) in the 2026-06-26 matrix. Whether an in-process report now lists active LOTs with location/status needs live confirmation. || RE-CHECK 2026-08-11: -&gt;Pass Current Inventory report (plantwide WIP) built &amp; render-verified.</t>
  </si>
  <si>
    <t>FDS-12-010  —  Hold Status Report</t>
  </si>
  <si>
    <t>FAT-TRC-270</t>
  </si>
  <si>
    <t>Hold status report</t>
  </si>
  <si>
    <t>LOTs/containers on hold</t>
  </si>
  <si>
    <t>Open the hold status report</t>
  </si>
  <si>
    <t>Open holds are listed with type, reason, age, and subject</t>
  </si>
  <si>
    <t>[insp] needs live/witness: LIVE. Quality.Hold_ListOpen + HoldManagement list open holds with type, reason, subject and PlacedAt (R__Quality_Hold_ListOpen.sql:24-48), but no computed age/duration-on-hold column; FDS-12-010 marked Partial (no duration + export). Whether the 'hold status report' shows age needs live witnessing.</t>
  </si>
  <si>
    <t>FDS-12-011  —  Shipping History</t>
  </si>
  <si>
    <t>FAT-TRC-280</t>
  </si>
  <si>
    <t>Shipping history</t>
  </si>
  <si>
    <t>Shipped containers over a date range</t>
  </si>
  <si>
    <t>Open the shipping history report</t>
  </si>
  <si>
    <t>Shipped containers list with AIM shipper id, part, quantity, and ship time</t>
  </si>
  <si>
    <t>Verify: report screen availability | [insp] Missing. No shipping-history report or proc exists (grep for ShippingHistory/Container_ListShipped/Shipped-list returns none; Container_Ship only flips status + audits ContainerShipped). FDS-12-011 Missing in ARC2_FDS_CONFORMANCE.md. || RE-CHECK 2026-08-11: UNBUILT - no shipping-history report/proc (Container_ListShipped); buildable now Reporting Module understood.</t>
  </si>
  <si>
    <t>FDS-12-012  —  Home-Tile Trace Access</t>
  </si>
  <si>
    <t>FAT-TRC-290</t>
  </si>
  <si>
    <t>Home-tile trace access</t>
  </si>
  <si>
    <t>The plant-floor home screen</t>
  </si>
  <si>
    <t>Open the Global Trace tool from the home tile</t>
  </si>
  <si>
    <t>A Trace tile/entry point is present and opens the Global Trace tool</t>
  </si>
  <si>
    <t>[insp] HomeRouter home tile 'Track &amp; Trace' button onActionPerformed navigates to /shop-floor/trace (HomeRouter/view.json:168,188); the ShopFloor/GlobalTrace view exists. Trace entry point present and opens the Global Trace tool.</t>
  </si>
  <si>
    <t>FDS-12-013  —  Trace Input</t>
  </si>
  <si>
    <t>FAT-TRC-300</t>
  </si>
  <si>
    <t>Trace input</t>
  </si>
  <si>
    <t>The Global Trace tool</t>
  </si>
  <si>
    <t>Enter a trace identifier (LOT / serial / container / part)</t>
  </si>
  <si>
    <t>The tool accepts and resolves multiple identifier types</t>
  </si>
  <si>
    <t>[insp] Lots.GlobalTrace_Resolve accepts and resolves multiple identifier types: exact LOT name, serial number, container id, AIM shipper id, and LOT-name prefix (R__Lots_GlobalTrace_Resolve.sql:57-136); GlobalTrace resolve()/resolveForTable() wire it. Multi-identifier input supported.</t>
  </si>
  <si>
    <t>FDS-12-014  —  Trace Output</t>
  </si>
  <si>
    <t>FAT-TRC-310</t>
  </si>
  <si>
    <t>Trace output + Honda export</t>
  </si>
  <si>
    <t>A resolved trace subject</t>
  </si>
  <si>
    <t>Produce the trace output and export</t>
  </si>
  <si>
    <t>Full upstream/downstream genealogy is displayed and exports to Honda-format PDF/CSV</t>
  </si>
  <si>
    <t>Primary Honda deliverable | [insp] Export missing. Trace output displays upstream/downstream genealogy (GlobalTrace composes Lot_GetGenealogyTree + production events), but there is NO Honda-format PDF/CSV export (grep of GlobalTrace view + ignition py finds no export/pdf/csv/honda). FDS-12-014 Honda export Missing in ARC2_FDS_CONFORMANCE.md. || RE-CHECK 2026-08-11: BLOCKED - Honda-format trace export; target format unknown, awaiting MPP example (email drafted, not sent).</t>
  </si>
  <si>
    <t>FDS-12-015  —  Banners-Only In-MVP</t>
  </si>
  <si>
    <t>FAT-TRC-320</t>
  </si>
  <si>
    <t>Banners-only notifications</t>
  </si>
  <si>
    <t>A trace/quality condition raising a notification</t>
  </si>
  <si>
    <t>Observe the MVP notification posture</t>
  </si>
  <si>
    <t>Notifications surface as in-app banners only (no email/SMS) in MVP</t>
  </si>
  <si>
    <t>[insp] needs live/witness: LIVE. In-app banner/toast notification system exists and no email/SMS integration is present, but observing that a trace/quality condition raises an in-app banner (and only a banner) is a live-observation of the MVP notification posture.</t>
  </si>
  <si>
    <t>FDS-16-001  —  IdentifierSequence Table</t>
  </si>
  <si>
    <t>FAT-TRC-330</t>
  </si>
  <si>
    <t>Identifier sequence table</t>
  </si>
  <si>
    <t>System seeded</t>
  </si>
  <si>
    <t>Inspect the IdentifierSequence table</t>
  </si>
  <si>
    <t>MESL (LOT) and MESI (serialized) sequences are seeded with their formats</t>
  </si>
  <si>
    <t>[insp] Migration 0020 seeds two Lots.IdentifierSequence rows: Code 'Lot' FormatString 'MESL{0:D7}' and Code 'SerializedItem' FormatString 'MESI{0:D7}' (0020_arc2_phase1_shop_floor_foundation.sql:513-519). Both LOT (MESL) and serialized (MESI) sequences seeded with their formats.</t>
  </si>
  <si>
    <t>FDS-16-002  —  IdentifierSequence_Next Proc</t>
  </si>
  <si>
    <t>FAT-TRC-340</t>
  </si>
  <si>
    <t>Identifier next-value</t>
  </si>
  <si>
    <t>Concurrent LOT creation</t>
  </si>
  <si>
    <t>Mint identifiers under concurrent load</t>
  </si>
  <si>
    <t>IdentifierSequence_Next issues gap-free unique values under row-locking; no duplicates under concurrency</t>
  </si>
  <si>
    <t>[insp] Lots.IdentifierSequence_Next mints via a single atomic UPDATE WITH (ROWLOCK, UPDLOCK, HOLDLOCK) with an exhaustion guard in the WHERE (LastValue+1&lt;=EndingValue), gap-free, enlisting in the caller's tran (R__Lots_IdentifierSequence_Next.sql:87-92). UQ_Lot_LotName backstops uniqueness. Row-locked concurrency-safe minting mechanism concretely present.</t>
  </si>
  <si>
    <t>FDS-16-003  —  Cutover-Day Seeding</t>
  </si>
  <si>
    <t>FAT-TRC-350</t>
  </si>
  <si>
    <t>Cutover-day seeding</t>
  </si>
  <si>
    <t>Cutover checklist</t>
  </si>
  <si>
    <t>Verify the identifier sequences are seeded to the agreed cutover start values</t>
  </si>
  <si>
    <t>Sequences start at the MPP-agreed cutover values (e.g. a +10,000 offset) so new IDs never collide with legacy</t>
  </si>
  <si>
    <t>deploy-day step | [insp] needs live/witness: DATA. Sequences seeded PROVISIONALLY at the 3,000,000 integration floor; migration comments and FDS-16-003 (Partial) state the exact MPP-agreed cutover start (e.g. +10,000 offset) is a deploy-day value still owed from MPP (Ben). The agreed cutover values are not yet in the repo; verification is a cutover-checklist step.</t>
  </si>
  <si>
    <t>Blue Ridge / Non-FDS</t>
  </si>
  <si>
    <t>FAT-TRC-120</t>
  </si>
  <si>
    <t>Ingot exclusion</t>
  </si>
  <si>
    <t>A produced die-cast part</t>
  </si>
  <si>
    <t>Trace the part genealogy toward raw material</t>
  </si>
  <si>
    <t>Aluminum ingots are NOT part of the produced-part genealogy (correctly absent)</t>
  </si>
  <si>
    <t>FRS 3.9.1 | [insp] Die-cast LOTs are origin mints created with no parent/upstream consumption edge (Lot_Create writes only the self-row closure Depth=0; genealogy originates at Die Cast per the terminal-mint model). Although a 'RawMaterial (aluminum ingot)' ItemType is seeded (0004), nothing consumes an ingot into produced-part genealogy, so ingots are correctly absent from the produced-part trace.</t>
  </si>
  <si>
    <t>MPP MES — Factory Acceptance Test (FAT)</t>
  </si>
  <si>
    <t>Madison Precision Products, Inc.  ·  Blue Ridge Automation</t>
  </si>
  <si>
    <t>Measured against</t>
  </si>
  <si>
    <t>MPP MES Functional Design Specification (FDS) — FRS crosswalk shown per requirement</t>
  </si>
  <si>
    <t>Scope</t>
  </si>
  <si>
    <t>Full MVP / MVP-EXPANDED — Config Tool (Arc 1) + Plant Floor (Arc 2)</t>
  </si>
  <si>
    <t>FDS requirements</t>
  </si>
  <si>
    <t>226 in-scope  ·  9 conditional  ·  7 out-of-scope  (see Coverage sheet)</t>
  </si>
  <si>
    <t>Total test steps</t>
  </si>
  <si>
    <t>333</t>
  </si>
  <si>
    <t>In-scope requirements with no test</t>
  </si>
  <si>
    <t>0</t>
  </si>
  <si>
    <t>ENVIRONMENT UNDER TEST   (fill in at witnessing)</t>
  </si>
  <si>
    <t>Ignition Gateway version</t>
  </si>
  <si>
    <t>SQL Server / database</t>
  </si>
  <si>
    <t>Git commit / build tag</t>
  </si>
  <si>
    <t>Test date(s)</t>
  </si>
  <si>
    <t>SIGN-OFF</t>
  </si>
  <si>
    <t>Role</t>
  </si>
  <si>
    <t>Name</t>
  </si>
  <si>
    <t>Signature</t>
  </si>
  <si>
    <t>MPP — Acceptance</t>
  </si>
  <si>
    <t>MPP — Quality</t>
  </si>
  <si>
    <t>Blue Ridge — Lead</t>
  </si>
  <si>
    <t>ROLL-UP  (live — updates as Result cells are filled)</t>
  </si>
  <si>
    <t>Area</t>
  </si>
  <si>
    <t>Total</t>
  </si>
  <si>
    <t>N/A</t>
  </si>
  <si>
    <t>Open</t>
  </si>
  <si>
    <t>Environment &amp; Platform</t>
  </si>
  <si>
    <t>Plant Hierarchy</t>
  </si>
  <si>
    <t>Item Master</t>
  </si>
  <si>
    <t>Routes &amp; BOMs</t>
  </si>
  <si>
    <t>Op Templates &amp; Quality Specs</t>
  </si>
  <si>
    <t>Container Configs</t>
  </si>
  <si>
    <t>Code Tables</t>
  </si>
  <si>
    <t>Shift Schedules</t>
  </si>
  <si>
    <t>PLC Device Mapping</t>
  </si>
  <si>
    <t>Users &amp; Attribution</t>
  </si>
  <si>
    <t>Terminal &amp; Login</t>
  </si>
  <si>
    <t>Die Cast</t>
  </si>
  <si>
    <t>Trim</t>
  </si>
  <si>
    <t>Machining</t>
  </si>
  <si>
    <t>Assembly</t>
  </si>
  <si>
    <t>Third-Party Inspection</t>
  </si>
  <si>
    <t>Quality Capture &amp; Holds</t>
  </si>
  <si>
    <t>Movements &amp; Inventory</t>
  </si>
  <si>
    <t>LOT Traceability &amp; Genealogy</t>
  </si>
  <si>
    <t>Shift &amp; Downtime</t>
  </si>
  <si>
    <t>Labels &amp; Printing</t>
  </si>
  <si>
    <t>Audit Browser</t>
  </si>
  <si>
    <t>Totals</t>
  </si>
  <si>
    <t>FDS</t>
  </si>
  <si>
    <t>Title</t>
  </si>
  <si>
    <t>Section</t>
  </si>
  <si>
    <t>FRS crosswalk</t>
  </si>
  <si>
    <t>Covering TestIDs</t>
  </si>
  <si>
    <t>Coverage</t>
  </si>
  <si>
    <t>FDS-01-001</t>
  </si>
  <si>
    <t>Ignition Gateway</t>
  </si>
  <si>
    <t>1.2 System Topology</t>
  </si>
  <si>
    <t>MVP</t>
  </si>
  <si>
    <t>FAT-ENV-010, FAT-ENV-020</t>
  </si>
  <si>
    <t>Covered (2)</t>
  </si>
  <si>
    <t>FDS-01-002</t>
  </si>
  <si>
    <t>Database Server</t>
  </si>
  <si>
    <t>FAT-ENV-030</t>
  </si>
  <si>
    <t>Covered (1)</t>
  </si>
  <si>
    <t>FDS-01-003</t>
  </si>
  <si>
    <t>Redundancy</t>
  </si>
  <si>
    <t>FAT-ENV-040</t>
  </si>
  <si>
    <t>FDS-01-004</t>
  </si>
  <si>
    <t>Development/Test Environment</t>
  </si>
  <si>
    <t>FAT-ENV-050</t>
  </si>
  <si>
    <t>FDS-01-005</t>
  </si>
  <si>
    <t>Event Immutability</t>
  </si>
  <si>
    <t>1.4 Data Flow Architecture</t>
  </si>
  <si>
    <t>3.5.4, 3.9.6</t>
  </si>
  <si>
    <t>FAT-ENV-060</t>
  </si>
  <si>
    <t>FDS-01-006</t>
  </si>
  <si>
    <t>External Interface Dispatch Pattern</t>
  </si>
  <si>
    <t>3.17.4, 5.5.1</t>
  </si>
  <si>
    <t>FAT-ENV-070</t>
  </si>
  <si>
    <t>FDS-01-007</t>
  </si>
  <si>
    <t>Tag Historian Separation</t>
  </si>
  <si>
    <t>3.4.10, 5.5.1</t>
  </si>
  <si>
    <t>FAT-ENV-080</t>
  </si>
  <si>
    <t>FDS-01-013</t>
  </si>
  <si>
    <t>BOM Source System at Cutover</t>
  </si>
  <si>
    <t>FAT-ENV-090, FAT-ENV-100</t>
  </si>
  <si>
    <t>FDS-01-008</t>
  </si>
  <si>
    <t>OPC Server Connections</t>
  </si>
  <si>
    <t>1.5 OPC Connection Architecture</t>
  </si>
  <si>
    <t>FAT-ENV-110</t>
  </si>
  <si>
    <t>FDS-01-009</t>
  </si>
  <si>
    <t>OPC Tag Namespace</t>
  </si>
  <si>
    <t>FAT-ENV-120</t>
  </si>
  <si>
    <t>FDS-01-010</t>
  </si>
  <si>
    <t>Authentication</t>
  </si>
  <si>
    <t>1.6 Security Architecture</t>
  </si>
  <si>
    <t>5.3</t>
  </si>
  <si>
    <t>FAT-ENV-130, FAT-ENV-140</t>
  </si>
  <si>
    <t>FDS-01-011</t>
  </si>
  <si>
    <t>Authorization</t>
  </si>
  <si>
    <t>FAT-ENV-150</t>
  </si>
  <si>
    <t>FDS-01-012</t>
  </si>
  <si>
    <t>Audit Attribution</t>
  </si>
  <si>
    <t>FAT-ENV-160</t>
  </si>
  <si>
    <t>FDS-01-014</t>
  </si>
  <si>
    <t>External Integration Pattern (Gateway-script-async)</t>
  </si>
  <si>
    <t>FAT-ENV-170, FAT-ENV-180</t>
  </si>
  <si>
    <t>FDS-02-001</t>
  </si>
  <si>
    <t>ISA-95 Location Types</t>
  </si>
  <si>
    <t>2.2 Location Type Hierarchy</t>
  </si>
  <si>
    <t>FAT-PH-010, FAT-PH-020</t>
  </si>
  <si>
    <t>FDS-02-002</t>
  </si>
  <si>
    <t>Hierarchy Enforcement</t>
  </si>
  <si>
    <t>FAT-PH-030, FAT-PH-040</t>
  </si>
  <si>
    <t>FDS-02-003</t>
  </si>
  <si>
    <t>Areas as Instances</t>
  </si>
  <si>
    <t>3.3.2, 3.7.1</t>
  </si>
  <si>
    <t>FAT-PH-050</t>
  </si>
  <si>
    <t>FDS-02-004</t>
  </si>
  <si>
    <t>Location Type Definitions (Kinds)</t>
  </si>
  <si>
    <t>2.3 Polymorphic Kinds and Configurable Attributes</t>
  </si>
  <si>
    <t>FAT-PH-060, FAT-PH-070</t>
  </si>
  <si>
    <t>FDS-02-005</t>
  </si>
  <si>
    <t>Attribute Schemas per Definition</t>
  </si>
  <si>
    <t>FAT-PH-080</t>
  </si>
  <si>
    <t>FDS-02-006</t>
  </si>
  <si>
    <t>Attribute Value Integrity</t>
  </si>
  <si>
    <t>FAT-PH-090</t>
  </si>
  <si>
    <t>FDS-02-007</t>
  </si>
  <si>
    <t>Machine Seed Data</t>
  </si>
  <si>
    <t>2.4 Seed Data</t>
  </si>
  <si>
    <t>FAT-PH-100</t>
  </si>
  <si>
    <t>FDS-02-008</t>
  </si>
  <si>
    <t>Terminal as Cell Kind</t>
  </si>
  <si>
    <t>2.5 Terminals</t>
  </si>
  <si>
    <t>FAT-TERM-010, FAT-TERM-020, FAT-TERM-030, FAT-TERM-040</t>
  </si>
  <si>
    <t>Covered (4)</t>
  </si>
  <si>
    <t>FDS-02-009</t>
  </si>
  <si>
    <t>Cell Context Selection</t>
  </si>
  <si>
    <t>FAT-TERM-060, FAT-TERM-070, FAT-TERM-080</t>
  </si>
  <si>
    <t>Covered (3)</t>
  </si>
  <si>
    <t>FDS-02-010</t>
  </si>
  <si>
    <t>Terminal Behavior Determined by Assigned View</t>
  </si>
  <si>
    <t>FAT-TERM-090, FAT-TERM-100</t>
  </si>
  <si>
    <t>FDS-02-011</t>
  </si>
  <si>
    <t>Cell Context Change Rules</t>
  </si>
  <si>
    <t>FAT-TERM-110, FAT-TERM-120</t>
  </si>
  <si>
    <t>FDS-02-012</t>
  </si>
  <si>
    <t>Part ↔ Cell Eligibility</t>
  </si>
  <si>
    <t>FAT-TERM-130, FAT-TERM-140, FAT-TERM-150</t>
  </si>
  <si>
    <t>FDS-02-013</t>
  </si>
  <si>
    <t>Mobile-Friendly Design Input</t>
  </si>
  <si>
    <t>FAT-TERM-160</t>
  </si>
  <si>
    <t>FDS-02-014</t>
  </si>
  <si>
    <t>Honda RFID Forward-Compatibility</t>
  </si>
  <si>
    <t>FUTURE</t>
  </si>
  <si>
    <t>Out-of-scope</t>
  </si>
  <si>
    <t>FDS-03-001</t>
  </si>
  <si>
    <t>Item Records</t>
  </si>
  <si>
    <t>3.1 Item Master</t>
  </si>
  <si>
    <t>FAT-ITM-010, FAT-ITM-020, FAT-ITM-030, FAT-ITM-040, FAT-ITM-050</t>
  </si>
  <si>
    <t>Covered (5)</t>
  </si>
  <si>
    <t>FDS-03-002</t>
  </si>
  <si>
    <t>Item Types</t>
  </si>
  <si>
    <t>FAT-ITM-060</t>
  </si>
  <si>
    <t>FDS-03-003</t>
  </si>
  <si>
    <t>Item Deprecation</t>
  </si>
  <si>
    <t>FAT-ITM-070</t>
  </si>
  <si>
    <t>FDS-03-004</t>
  </si>
  <si>
    <t>BOM Structure</t>
  </si>
  <si>
    <t>3.2 Bills of Material</t>
  </si>
  <si>
    <t>3.4.2</t>
  </si>
  <si>
    <t>FAT-RB-010, FAT-RB-020</t>
  </si>
  <si>
    <t>FDS-03-005</t>
  </si>
  <si>
    <t>BOM Versioning</t>
  </si>
  <si>
    <t>FAT-RB-030, FAT-RB-040</t>
  </si>
  <si>
    <t>FDS-03-006</t>
  </si>
  <si>
    <t>Single-Level BOMs</t>
  </si>
  <si>
    <t>FAT-RB-050</t>
  </si>
  <si>
    <t>FDS-03-007</t>
  </si>
  <si>
    <t>Route Structure</t>
  </si>
  <si>
    <t>3.3 Route Templates</t>
  </si>
  <si>
    <t>3.11.1–3.11.4</t>
  </si>
  <si>
    <t>FAT-RB-060</t>
  </si>
  <si>
    <t>FDS-03-008</t>
  </si>
  <si>
    <t>Route Steps</t>
  </si>
  <si>
    <t>FAT-RB-070, FAT-RB-080</t>
  </si>
  <si>
    <t>FDS-03-009</t>
  </si>
  <si>
    <t>Route Steps Do Not Prescribe Machines</t>
  </si>
  <si>
    <t>FAT-RB-090</t>
  </si>
  <si>
    <t>FDS-03-010</t>
  </si>
  <si>
    <t>Route Versioning</t>
  </si>
  <si>
    <t>FAT-RB-100</t>
  </si>
  <si>
    <t>FDS-03-011</t>
  </si>
  <si>
    <t>Operation Sequence Flexibility</t>
  </si>
  <si>
    <t>3.11.10</t>
  </si>
  <si>
    <t>FAT-RB-110</t>
  </si>
  <si>
    <t>FDS-03-012</t>
  </si>
  <si>
    <t>Operation Template Design</t>
  </si>
  <si>
    <t>3.4 Operation Templates</t>
  </si>
  <si>
    <t>FAT-OQ-010, FAT-OQ-020, FAT-OQ-030</t>
  </si>
  <si>
    <t>FDS-03-013</t>
  </si>
  <si>
    <t>Operation Templates Drive Screen Behavior</t>
  </si>
  <si>
    <t>3.11.6</t>
  </si>
  <si>
    <t>FAT-OQ-040</t>
  </si>
  <si>
    <t>FDS-03-014</t>
  </si>
  <si>
    <t>Eligibility Map with Hierarchy Cascade</t>
  </si>
  <si>
    <t>3.5 Part-to-Location Eligibility</t>
  </si>
  <si>
    <t>3.4.7</t>
  </si>
  <si>
    <t>FAT-PH-110, FAT-PH-120</t>
  </si>
  <si>
    <t>FDS-03-015</t>
  </si>
  <si>
    <t>Eligibility Management</t>
  </si>
  <si>
    <t>FAT-PH-130</t>
  </si>
  <si>
    <t>FDS-03-018</t>
  </si>
  <si>
    <t>Consumption Metadata on Item-Location Eligibility</t>
  </si>
  <si>
    <t>FAT-PH-140</t>
  </si>
  <si>
    <t>FDS-03-016</t>
  </si>
  <si>
    <t>Container Config</t>
  </si>
  <si>
    <t>3.6 Container Configuration</t>
  </si>
  <si>
    <t>3.9.7</t>
  </si>
  <si>
    <t>FAT-CC-010, FAT-CC-020</t>
  </si>
  <si>
    <t>FDS-03-017</t>
  </si>
  <si>
    <t>Container Closure Logic</t>
  </si>
  <si>
    <t>FAT-CC-030, FAT-CC-040</t>
  </si>
  <si>
    <t>FDS-03-019</t>
  </si>
  <si>
    <t>Per-Item Per-Location Piece Cap</t>
  </si>
  <si>
    <t>FAT-CC-050</t>
  </si>
  <si>
    <t>FDS-03-020</t>
  </si>
  <si>
    <t>Lineside Inventory Cap</t>
  </si>
  <si>
    <t>FAT-CC-060</t>
  </si>
  <si>
    <t>FDS-03-021</t>
  </si>
  <si>
    <t>Tray-Divisibility Validation on Work Order</t>
  </si>
  <si>
    <t>FAT-CC-070</t>
  </si>
  <si>
    <t>FDS-04-001</t>
  </si>
  <si>
    <t>Two Identity Classes</t>
  </si>
  <si>
    <t>4.1 Identity Model</t>
  </si>
  <si>
    <t>FAT-USR-010, FAT-USR-020</t>
  </si>
  <si>
    <t>FDS-04-002</t>
  </si>
  <si>
    <t>Operator Initials Capture</t>
  </si>
  <si>
    <t>FAT-USR-030, FAT-USR-040</t>
  </si>
  <si>
    <t>FDS-04-003</t>
  </si>
  <si>
    <t>Presence Policy: Dedicated vs Shared Views</t>
  </si>
  <si>
    <t>FAT-USR-050, FAT-USR-060</t>
  </si>
  <si>
    <t>FDS-04-004</t>
  </si>
  <si>
    <t>Interactive User Authentication</t>
  </si>
  <si>
    <t>FAT-USR-070</t>
  </si>
  <si>
    <t>FDS-04-005</t>
  </si>
  <si>
    <t>Pre-Populated Initials Field</t>
  </si>
  <si>
    <t>4.2 Event Attribution on Mutations</t>
  </si>
  <si>
    <t>FAT-USR-080, FAT-USR-090</t>
  </si>
  <si>
    <t>FDS-04-006</t>
  </si>
  <si>
    <t>30-Minute Presence Re-Confirmation</t>
  </si>
  <si>
    <t>FAT-USR-100, FAT-USR-110</t>
  </si>
  <si>
    <t>FDS-04-007</t>
  </si>
  <si>
    <t>Elevated Actions Require Active Directory Authentication</t>
  </si>
  <si>
    <t>4.3 Elevation Model</t>
  </si>
  <si>
    <t>FAT-USR-120, FAT-USR-130, FAT-USR-140</t>
  </si>
  <si>
    <t>FDS-04-008</t>
  </si>
  <si>
    <t>Ignition Role Mapping</t>
  </si>
  <si>
    <t>FAT-USR-150</t>
  </si>
  <si>
    <t>FDS-04-009</t>
  </si>
  <si>
    <t>Screen-Level Security</t>
  </si>
  <si>
    <t>FAT-USR-160, FAT-USR-170</t>
  </si>
  <si>
    <t>FDS-04-010</t>
  </si>
  <si>
    <t>Operator AppUser Lifecycle</t>
  </si>
  <si>
    <t>FAT-USR-180, FAT-USR-190</t>
  </si>
  <si>
    <t>FDS-05-001</t>
  </si>
  <si>
    <t>LOT Uniqueness</t>
  </si>
  <si>
    <t>5.1 LOT Identity</t>
  </si>
  <si>
    <t>3.9.6</t>
  </si>
  <si>
    <t>FAT-TRC-010, FAT-TRC-020</t>
  </si>
  <si>
    <t>FDS-05-002</t>
  </si>
  <si>
    <t>LTT Pre-Printing</t>
  </si>
  <si>
    <t>2.2.1</t>
  </si>
  <si>
    <t>FDS-05-003</t>
  </si>
  <si>
    <t>LOT Attributes</t>
  </si>
  <si>
    <t>3.9.6, 2.2.2</t>
  </si>
  <si>
    <t>FDS-05-034</t>
  </si>
  <si>
    <t>Die-Cast-Origin Tool + Cavity Required on Lot Create</t>
  </si>
  <si>
    <t>FAT-DC-030</t>
  </si>
  <si>
    <t>FDS-05-035</t>
  </si>
  <si>
    <t>Tools System of Record — On Lot, Not On ProductionEvent</t>
  </si>
  <si>
    <t>FAT-DC-140</t>
  </si>
  <si>
    <t>FDS-05-031</t>
  </si>
  <si>
    <t>LOT Computed Quantities (TotalInProcess, InventoryAvailable)</t>
  </si>
  <si>
    <t>FAT-TRC-140</t>
  </si>
  <si>
    <t>FDS-05-004</t>
  </si>
  <si>
    <t>Manufactured LOT Creation (Die Cast) — Per-Cavity Open Basket</t>
  </si>
  <si>
    <t>5.2 LOT Creation Workflows</t>
  </si>
  <si>
    <t>FAT-DC-130</t>
  </si>
  <si>
    <t>FDS-05-039</t>
  </si>
  <si>
    <t>Die Cast Basket Lifecycle: Open → Accumulate → Release / Void</t>
  </si>
  <si>
    <t>FAT-DC-040</t>
  </si>
  <si>
    <t>FDS-05-040</t>
  </si>
  <si>
    <t>Shift-Output Recording (the Accumulate action)</t>
  </si>
  <si>
    <t>FAT-DC-150</t>
  </si>
  <si>
    <t>FDS-05-041</t>
  </si>
  <si>
    <t>Basket Release (Open → Good)</t>
  </si>
  <si>
    <t>FAT-DC-090, FAT-DC-100</t>
  </si>
  <si>
    <t>FDS-05-042</t>
  </si>
  <si>
    <t>Basket Void (Open → Scrap)</t>
  </si>
  <si>
    <t>FAT-DC-110</t>
  </si>
  <si>
    <t>FDS-05-005</t>
  </si>
  <si>
    <t>Received LOT Creation (Pass-Through Parts)</t>
  </si>
  <si>
    <t>2.1.1, 2.1.12</t>
  </si>
  <si>
    <t>FAT-INSP-010, FAT-INSP-020</t>
  </si>
  <si>
    <t>FDS-05-006</t>
  </si>
  <si>
    <t>Off-Site Received LOT Creation</t>
  </si>
  <si>
    <t>FAT-INSP-030</t>
  </si>
  <si>
    <t>FDS-05-007</t>
  </si>
  <si>
    <t>Movement Tracking</t>
  </si>
  <si>
    <t>5.3 LOT Movement</t>
  </si>
  <si>
    <t>3.9.8</t>
  </si>
  <si>
    <t>FAT-MOVE-010, FAT-MOVE-020</t>
  </si>
  <si>
    <t>FDS-05-008</t>
  </si>
  <si>
    <t>Movement Workflow</t>
  </si>
  <si>
    <t>FAT-MOVE-030, FAT-MOVE-040, FAT-MOVE-050, FAT-MOVE-060</t>
  </si>
  <si>
    <t>FDS-05-036</t>
  </si>
  <si>
    <t>Lazy, Operator-Driven LOT Creation</t>
  </si>
  <si>
    <t>FDS-05-037</t>
  </si>
  <si>
    <t>LOT Close Semantics</t>
  </si>
  <si>
    <t>FAT-MOVE-070, FAT-MOVE-080</t>
  </si>
  <si>
    <t>FDS-05-032</t>
  </si>
  <si>
    <t>Partial Start and Partial Complete</t>
  </si>
  <si>
    <t>FAT-MOVE-090, FAT-MOVE-100</t>
  </si>
  <si>
    <t>FDS-05-038</t>
  </si>
  <si>
    <t>Pausable LOT at Workstation</t>
  </si>
  <si>
    <t>FAT-MOVE-110, FAT-MOVE-120, FAT-MOVE-130</t>
  </si>
  <si>
    <t>FDS-05-022</t>
  </si>
  <si>
    <t>Sublot Pattern (Machining)</t>
  </si>
  <si>
    <t>5.4 Sub-LOT Splitting</t>
  </si>
  <si>
    <t>FAT-MACH-010</t>
  </si>
  <si>
    <t>FDS-05-024</t>
  </si>
  <si>
    <t>Sublot Labels</t>
  </si>
  <si>
    <t>FAT-LBL-010, FAT-LBL-020</t>
  </si>
  <si>
    <t>FDS-05-009</t>
  </si>
  <si>
    <t>Machining OUT Sub-LOT Extraction Workflow (Extract-One / Partial-Remainder)</t>
  </si>
  <si>
    <t>2.1.4, 2.2.5, 3.9.12</t>
  </si>
  <si>
    <t>FAT-MACH-020, FAT-MACH-030, FAT-MACH-040</t>
  </si>
  <si>
    <t>FDS-05-010</t>
  </si>
  <si>
    <t>Partial-Remainder Handling</t>
  </si>
  <si>
    <t>FAT-MACH-050, FAT-MACH-060</t>
  </si>
  <si>
    <t>FDS-05-011</t>
  </si>
  <si>
    <t>Split Genealogy Permanence</t>
  </si>
  <si>
    <t>FAT-MACH-070</t>
  </si>
  <si>
    <t>FDS-05-012</t>
  </si>
  <si>
    <t>Merge Capability</t>
  </si>
  <si>
    <t>5.5 LOT Merging</t>
  </si>
  <si>
    <t>3.9.13</t>
  </si>
  <si>
    <t>FDS-05-025</t>
  </si>
  <si>
    <t>Post-Sort Requirement</t>
  </si>
  <si>
    <t>3.13.1</t>
  </si>
  <si>
    <t>FDS-05-026</t>
  </si>
  <si>
    <t>Part Number Match</t>
  </si>
  <si>
    <t>FDS-05-027</t>
  </si>
  <si>
    <t>Die Rank Compatibility</t>
  </si>
  <si>
    <t>FDS-05-028</t>
  </si>
  <si>
    <t>Quality Status Gating</t>
  </si>
  <si>
    <t>FDS-05-029</t>
  </si>
  <si>
    <t>Machining Is Not a Merge — FIFO-by-Cavity</t>
  </si>
  <si>
    <t>FDS-05-030</t>
  </si>
  <si>
    <t>Post-Merge LOT Has NULL Tool / Cavity</t>
  </si>
  <si>
    <t>FDS-05-013</t>
  </si>
  <si>
    <t>Status Codes</t>
  </si>
  <si>
    <t>5.6 LOT Status Transitions</t>
  </si>
  <si>
    <t>3.16.3</t>
  </si>
  <si>
    <t>FAT-QH-010, FAT-QH-020</t>
  </si>
  <si>
    <t>FDS-05-014</t>
  </si>
  <si>
    <t>Status Transition Rules</t>
  </si>
  <si>
    <t>FAT-QH-030, FAT-QH-040</t>
  </si>
  <si>
    <t>FDS-05-015</t>
  </si>
  <si>
    <t>Status History</t>
  </si>
  <si>
    <t>3.16.4</t>
  </si>
  <si>
    <t>FAT-QH-050</t>
  </si>
  <si>
    <t>FDS-05-016</t>
  </si>
  <si>
    <t>Genealogy Graph</t>
  </si>
  <si>
    <t>5.7 Genealogy</t>
  </si>
  <si>
    <t>FAT-TRC-060, FAT-TRC-110</t>
  </si>
  <si>
    <t>FDS-05-017</t>
  </si>
  <si>
    <t>Bidirectional Query</t>
  </si>
  <si>
    <t>3.13.2</t>
  </si>
  <si>
    <t>FAT-TRC-080, FAT-TRC-090</t>
  </si>
  <si>
    <t>FDS-05-018</t>
  </si>
  <si>
    <t>Genealogy Report</t>
  </si>
  <si>
    <t>FDS-05-019</t>
  </si>
  <si>
    <t>Label Print Tracking</t>
  </si>
  <si>
    <t>5.8 LOT Label Management</t>
  </si>
  <si>
    <t>FAT-LBL-030</t>
  </si>
  <si>
    <t>FDS-05-020</t>
  </si>
  <si>
    <t>Print Reasons</t>
  </si>
  <si>
    <t>3.13.1, 2.2.1</t>
  </si>
  <si>
    <t>FAT-LBL-040</t>
  </si>
  <si>
    <t>FDS-05-021</t>
  </si>
  <si>
    <t>Attribute Change Log</t>
  </si>
  <si>
    <t>5.9 LOT Attribute Auditing</t>
  </si>
  <si>
    <t>FAT-TRC-040, FAT-TRC-050</t>
  </si>
  <si>
    <t>FDS-05-033</t>
  </si>
  <si>
    <t>Trim → Machining Rename via 1-Line BOM</t>
  </si>
  <si>
    <t>5.10 Part Identity Change</t>
  </si>
  <si>
    <t>FAT-MACH-080</t>
  </si>
  <si>
    <t>FDS-06-001</t>
  </si>
  <si>
    <t>Die Cast Production Screen — Open Panel + Shift-Output Entry (amended 2026-07-29)</t>
  </si>
  <si>
    <t>6.2 Die Cast Workflow</t>
  </si>
  <si>
    <t>MVP-EXPANDED</t>
  </si>
  <si>
    <t>FAT-DC-010, FAT-DC-020</t>
  </si>
  <si>
    <t>FDS-06-002</t>
  </si>
  <si>
    <t>Die Cast Validation (amended 2026-07-29)</t>
  </si>
  <si>
    <t>FAT-DC-160</t>
  </si>
  <si>
    <t>FDS-06-003</t>
  </si>
  <si>
    <t>Die Cast Shift-Output Recording (amended 2026-07-29)</t>
  </si>
  <si>
    <t>FAT-DC-050, FAT-DC-070</t>
  </si>
  <si>
    <t>FDS-06-004</t>
  </si>
  <si>
    <t>Trim IN</t>
  </si>
  <si>
    <t>6.3 Trim Shop Workflow</t>
  </si>
  <si>
    <t>2.2.3</t>
  </si>
  <si>
    <t>FAT-TRIM-010, FAT-TRIM-020</t>
  </si>
  <si>
    <t>FDS-06-005</t>
  </si>
  <si>
    <t>Weight-Based Piece Count Estimation</t>
  </si>
  <si>
    <t>FAT-TRIM-030, FAT-TRIM-040, FAT-TRIM-050</t>
  </si>
  <si>
    <t>FDS-06-006</t>
  </si>
  <si>
    <t>Trim OUT (ProductionEvent + Whole-LOT Move to Machining)</t>
  </si>
  <si>
    <t>FAT-TRIM-060, FAT-TRIM-070, FAT-TRIM-080, FAT-TRIM-090</t>
  </si>
  <si>
    <t>FDS-06-007</t>
  </si>
  <si>
    <t>Machining IN (FIFO Pick + Trim → Machining Rename)</t>
  </si>
  <si>
    <t>6.4 Machining Workflow</t>
  </si>
  <si>
    <t>2.2.4</t>
  </si>
  <si>
    <t>FAT-MACH-090, FAT-MACH-100, FAT-MACH-110, FAT-MACH-120</t>
  </si>
  <si>
    <t>FDS-06-008</t>
  </si>
  <si>
    <t>Machining OUT (Sub-LOT Split on Sublotting Lines, else Auto-Move to Coupled Assembly Cell)</t>
  </si>
  <si>
    <t>2.2.5</t>
  </si>
  <si>
    <t>FAT-MACH-200</t>
  </si>
  <si>
    <t>FDS-06-009</t>
  </si>
  <si>
    <t>Machining Production Event</t>
  </si>
  <si>
    <t>FAT-MACH-130, FAT-MACH-140</t>
  </si>
  <si>
    <t>FDS-06-010</t>
  </si>
  <si>
    <t>Serialized Assembly (PLC-Integrated)</t>
  </si>
  <si>
    <t>6.5 Assembly Workflow</t>
  </si>
  <si>
    <t>FAT-ASM-010, FAT-ASM-020, FAT-ASM-030</t>
  </si>
  <si>
    <t>FDS-06-011</t>
  </si>
  <si>
    <t>Serialized Assembly Material Identification</t>
  </si>
  <si>
    <t>3.10.6</t>
  </si>
  <si>
    <t>FAT-ASM-040, FAT-ASM-050, FAT-ASM-060</t>
  </si>
  <si>
    <t>FDS-06-012</t>
  </si>
  <si>
    <t>Hardware Interlock Bypass</t>
  </si>
  <si>
    <t>FAT-ASM-070</t>
  </si>
  <si>
    <t>FDS-06-013</t>
  </si>
  <si>
    <t>Non-Serialized Assembly (Mint Finished-Good LOT; Tray = LOT)</t>
  </si>
  <si>
    <t>6.6 Assembly Workflow</t>
  </si>
  <si>
    <t>FAT-ASM-080, FAT-ASM-090, FAT-ASM-100</t>
  </si>
  <si>
    <t>FDS-06-014</t>
  </si>
  <si>
    <t>Tray Validation + Container Accumulation</t>
  </si>
  <si>
    <t>FAT-ASM-110, FAT-ASM-120, FAT-ASM-130</t>
  </si>
  <si>
    <t>FDS-06-015</t>
  </si>
  <si>
    <t>Production Event Immutability</t>
  </si>
  <si>
    <t>6.7 Production Events</t>
  </si>
  <si>
    <t>3.5.4</t>
  </si>
  <si>
    <t>FAT-DC-170</t>
  </si>
  <si>
    <t>FDS-06-016</t>
  </si>
  <si>
    <t>Production Event Fields</t>
  </si>
  <si>
    <t>FAT-DC-180</t>
  </si>
  <si>
    <t>FDS-06-017</t>
  </si>
  <si>
    <t>Reject Recording</t>
  </si>
  <si>
    <t>6.8 Reject Events and Scrap Handling</t>
  </si>
  <si>
    <t>FAT-DC-190</t>
  </si>
  <si>
    <t>FDS-06-018</t>
  </si>
  <si>
    <t>Reject Event Fields</t>
  </si>
  <si>
    <t>FAT-DC-200</t>
  </si>
  <si>
    <t>FDS-06-019</t>
  </si>
  <si>
    <t>Reject Data Classification and Scrap Handling Patterns</t>
  </si>
  <si>
    <t>FAT-DC-060</t>
  </si>
  <si>
    <t>FDS-06-020</t>
  </si>
  <si>
    <t>Consumption Tracking</t>
  </si>
  <si>
    <t>6.9 Consumption Events</t>
  </si>
  <si>
    <t>FAT-ASM-140</t>
  </si>
  <si>
    <t>FDS-06-021</t>
  </si>
  <si>
    <t>Consumption Genealogy</t>
  </si>
  <si>
    <t>FAT-ASM-150</t>
  </si>
  <si>
    <t>FDS-06-022</t>
  </si>
  <si>
    <t>Work Order Auto-Generation (Production Type)</t>
  </si>
  <si>
    <t>6.10 Work Orders</t>
  </si>
  <si>
    <t>MVP-LITE</t>
  </si>
  <si>
    <t>3.1.5</t>
  </si>
  <si>
    <t>FAT-MACH-150</t>
  </si>
  <si>
    <t>FDS-06-023</t>
  </si>
  <si>
    <t>Work Order Structure</t>
  </si>
  <si>
    <t>FAT-MACH-160</t>
  </si>
  <si>
    <t>FDS-06-024</t>
  </si>
  <si>
    <t>Work Order Independence from Evidence</t>
  </si>
  <si>
    <t>FAT-MACH-170</t>
  </si>
  <si>
    <t>FDS-06-025</t>
  </si>
  <si>
    <t>WorkOrderType Code Table</t>
  </si>
  <si>
    <t>FAT-MACH-180</t>
  </si>
  <si>
    <t>FDS-06-026</t>
  </si>
  <si>
    <t>Future Maintenance-Engine Schema Hooks</t>
  </si>
  <si>
    <t>FDS-06-028</t>
  </si>
  <si>
    <t>Auto-Finish on Target (Camera / Scale)</t>
  </si>
  <si>
    <t>FAT-ASM-160, FAT-ASM-170</t>
  </si>
  <si>
    <t>FDS-06-029</t>
  </si>
  <si>
    <t>Tray-Divisibility Validation on WO Close</t>
  </si>
  <si>
    <t>FAT-ASM-180</t>
  </si>
  <si>
    <t>FDS-06-030</t>
  </si>
  <si>
    <t>WorkOrder BIT-Flag Enumeration</t>
  </si>
  <si>
    <t>FAT-MACH-190</t>
  </si>
  <si>
    <t>FDS-07-001</t>
  </si>
  <si>
    <t>Container Creation</t>
  </si>
  <si>
    <t>7.2 Container Lifecycle</t>
  </si>
  <si>
    <t>FAT-ASM-190</t>
  </si>
  <si>
    <t>FDS-07-002</t>
  </si>
  <si>
    <t>Container Status Codes</t>
  </si>
  <si>
    <t>FAT-ASM-200</t>
  </si>
  <si>
    <t>FDS-07-003</t>
  </si>
  <si>
    <t>Container Filling — Serialized Lines</t>
  </si>
  <si>
    <t>FAT-ASM-210</t>
  </si>
  <si>
    <t>FDS-07-004</t>
  </si>
  <si>
    <t>Container Filling — Non-Serialized Lines</t>
  </si>
  <si>
    <t>FAT-ASM-220</t>
  </si>
  <si>
    <t>FDS-07-005</t>
  </si>
  <si>
    <t>Container Closure</t>
  </si>
  <si>
    <t>FAT-ASM-230, FAT-ASM-240</t>
  </si>
  <si>
    <t>FDS-07-006</t>
  </si>
  <si>
    <t>Shipping Label Generation</t>
  </si>
  <si>
    <t>7.3 Shipping Labels</t>
  </si>
  <si>
    <t>FAT-LBL-050</t>
  </si>
  <si>
    <t>FDS-07-007</t>
  </si>
  <si>
    <t>Shipping Label Tracking</t>
  </si>
  <si>
    <t>FAT-LBL-060</t>
  </si>
  <si>
    <t>FDS-07-008</t>
  </si>
  <si>
    <t>Shipping Label Void</t>
  </si>
  <si>
    <t>FAT-LBL-070, FAT-LBL-080</t>
  </si>
  <si>
    <t>FDS-07-009</t>
  </si>
  <si>
    <t>Shipping Label Reprint</t>
  </si>
  <si>
    <t>FAT-LBL-090</t>
  </si>
  <si>
    <t>FDS-07-010</t>
  </si>
  <si>
    <t>AIM Shipper ID Local Pool</t>
  </si>
  <si>
    <t>7.4 AIM Integration</t>
  </si>
  <si>
    <t>FAT-LBL-100, FAT-LBL-110</t>
  </si>
  <si>
    <t>FDS-07-011</t>
  </si>
  <si>
    <t>AIM Hold Notification</t>
  </si>
  <si>
    <t>2.3.1</t>
  </si>
  <si>
    <t>FAT-LBL-120</t>
  </si>
  <si>
    <t>FDS-07-012</t>
  </si>
  <si>
    <t>AIM Update for Re-Sort</t>
  </si>
  <si>
    <t>2.1.10</t>
  </si>
  <si>
    <t>FAT-LBL-130</t>
  </si>
  <si>
    <t>FDS-07-013</t>
  </si>
  <si>
    <t>Shipping Validation</t>
  </si>
  <si>
    <t>7.5 Shipping Dock Workflow</t>
  </si>
  <si>
    <t>FAT-MOVE-140, FAT-MOVE-150</t>
  </si>
  <si>
    <t>FDS-07-014</t>
  </si>
  <si>
    <t>Ship Confirmation</t>
  </si>
  <si>
    <t>FAT-MOVE-160</t>
  </si>
  <si>
    <t>FDS-07-015</t>
  </si>
  <si>
    <t>Container Hold</t>
  </si>
  <si>
    <t>7.6 Container Holds</t>
  </si>
  <si>
    <t>FAT-QH-060, FAT-QH-070</t>
  </si>
  <si>
    <t>FDS-07-016</t>
  </si>
  <si>
    <t>Container Hold Release</t>
  </si>
  <si>
    <t>FAT-QH-080</t>
  </si>
  <si>
    <t>FDS-07-017</t>
  </si>
  <si>
    <t>Sort Cage Workflow</t>
  </si>
  <si>
    <t>7.7 Sort Cage</t>
  </si>
  <si>
    <t>2.1.10, 2.2.7</t>
  </si>
  <si>
    <t>FAT-MOVE-170, FAT-MOVE-180, FAT-MOVE-190</t>
  </si>
  <si>
    <t>FDS-07-018</t>
  </si>
  <si>
    <t>Sort Cage Scope Boundary</t>
  </si>
  <si>
    <t>FAT-MOVE-200</t>
  </si>
  <si>
    <t>FDS-07-019</t>
  </si>
  <si>
    <t>Sort Cage Is Not a LOT Merge Event</t>
  </si>
  <si>
    <t>FAT-MOVE-210, FAT-MOVE-220</t>
  </si>
  <si>
    <t>FDS-08-001</t>
  </si>
  <si>
    <t>Hold Placement</t>
  </si>
  <si>
    <t>8.2 Hold Management</t>
  </si>
  <si>
    <t>3.16.10</t>
  </si>
  <si>
    <t>FAT-QH-090, FAT-QH-100</t>
  </si>
  <si>
    <t>FDS-08-002</t>
  </si>
  <si>
    <t>Hold Effect</t>
  </si>
  <si>
    <t>FAT-QH-120</t>
  </si>
  <si>
    <t>FDS-08-003</t>
  </si>
  <si>
    <t>Hold Release</t>
  </si>
  <si>
    <t>3.16.11</t>
  </si>
  <si>
    <t>FAT-QH-130</t>
  </si>
  <si>
    <t>FDS-08-004</t>
  </si>
  <si>
    <t>Hold Without NCM</t>
  </si>
  <si>
    <t>2.1.8</t>
  </si>
  <si>
    <t>FAT-QH-140</t>
  </si>
  <si>
    <t>FDS-08-005</t>
  </si>
  <si>
    <t>Partial Disposition via Split</t>
  </si>
  <si>
    <t>FAT-QH-150</t>
  </si>
  <si>
    <t>FDS-08-006</t>
  </si>
  <si>
    <t>Bulk Hold</t>
  </si>
  <si>
    <t>FAT-QH-160</t>
  </si>
  <si>
    <t>FDS-08-007</t>
  </si>
  <si>
    <t>Container Hold Integration</t>
  </si>
  <si>
    <t>FAT-QH-170</t>
  </si>
  <si>
    <t>FDS-08-008</t>
  </si>
  <si>
    <t>Quality Spec Management</t>
  </si>
  <si>
    <t>8.3 Inspections</t>
  </si>
  <si>
    <t>3.16.1</t>
  </si>
  <si>
    <t>FAT-OQ-050, FAT-OQ-060</t>
  </si>
  <si>
    <t>FDS-08-009</t>
  </si>
  <si>
    <t>Quality Spec Versioning</t>
  </si>
  <si>
    <t>3.16.2</t>
  </si>
  <si>
    <t>FAT-OQ-070</t>
  </si>
  <si>
    <t>FDS-08-010</t>
  </si>
  <si>
    <t>Quality Spec Attributes</t>
  </si>
  <si>
    <t>FAT-OQ-080, FAT-OQ-090</t>
  </si>
  <si>
    <t>FDS-08-011</t>
  </si>
  <si>
    <t>Inspection Recording</t>
  </si>
  <si>
    <t>FAT-QH-180, FAT-QH-190, FAT-QH-200</t>
  </si>
  <si>
    <t>FDS-08-012</t>
  </si>
  <si>
    <t>Failed Inspection Handling</t>
  </si>
  <si>
    <t>FAT-QH-210, FAT-QH-220</t>
  </si>
  <si>
    <t>FDS-08-013</t>
  </si>
  <si>
    <t>Quality Attachments</t>
  </si>
  <si>
    <t>FAT-QH-230</t>
  </si>
  <si>
    <t>FDS-08-014</t>
  </si>
  <si>
    <t>Sample Triggers</t>
  </si>
  <si>
    <t>8.4 Sampling Workflows</t>
  </si>
  <si>
    <t>CONDITIONAL</t>
  </si>
  <si>
    <t>FAT-QH-240</t>
  </si>
  <si>
    <t>FDS-08-015</t>
  </si>
  <si>
    <t>Sample Results as Representative</t>
  </si>
  <si>
    <t>2.1.9</t>
  </si>
  <si>
    <t>FAT-QH-250</t>
  </si>
  <si>
    <t>FDS-08-016</t>
  </si>
  <si>
    <t>Defect Code Management</t>
  </si>
  <si>
    <t>8.5 Defect Codes</t>
  </si>
  <si>
    <t>FAT-CT-010, FAT-CT-020, FAT-CT-030, FAT-CT-040</t>
  </si>
  <si>
    <t>FDS-08-017</t>
  </si>
  <si>
    <t>Area Filtering</t>
  </si>
  <si>
    <t>FAT-CT-050, FAT-CT-060</t>
  </si>
  <si>
    <t>FDS-08-018</t>
  </si>
  <si>
    <t>NCM Scope Boundary</t>
  </si>
  <si>
    <t>8.6 Non-Conformance Management</t>
  </si>
  <si>
    <t>FDS-09-001</t>
  </si>
  <si>
    <t>Manual Downtime Entry</t>
  </si>
  <si>
    <t>9.2 Downtime Events</t>
  </si>
  <si>
    <t>3.15.1</t>
  </si>
  <si>
    <t>FAT-SHIFT-010, FAT-SHIFT-020, FAT-SHIFT-030</t>
  </si>
  <si>
    <t>FDS-09-002</t>
  </si>
  <si>
    <t>PLC-Triggered Downtime</t>
  </si>
  <si>
    <t>3.15.2</t>
  </si>
  <si>
    <t>FAT-SHIFT-040, FAT-SHIFT-050</t>
  </si>
  <si>
    <t>FDS-09-003</t>
  </si>
  <si>
    <t>Open Downtime Events</t>
  </si>
  <si>
    <t>FAT-SHIFT-060</t>
  </si>
  <si>
    <t>FDS-09-004</t>
  </si>
  <si>
    <t>Downtime Event Immutability</t>
  </si>
  <si>
    <t>FAT-SHIFT-070, FAT-SHIFT-080</t>
  </si>
  <si>
    <t>FDS-09-005</t>
  </si>
  <si>
    <t>Downtime Reason Code Filtering</t>
  </si>
  <si>
    <t>FAT-SHIFT-090</t>
  </si>
  <si>
    <t>FDS-09-006</t>
  </si>
  <si>
    <t>Reason Code Seed Data</t>
  </si>
  <si>
    <t>9.3 Downtime Reason Codes</t>
  </si>
  <si>
    <t>FAT-CT-070, FAT-CT-080</t>
  </si>
  <si>
    <t>FDS-09-007</t>
  </si>
  <si>
    <t>Reason Types</t>
  </si>
  <si>
    <t>FAT-CT-090, FAT-CT-100</t>
  </si>
  <si>
    <t>FDS-09-008</t>
  </si>
  <si>
    <t>9.4 Shift Management</t>
  </si>
  <si>
    <t>FAT-SS-010, FAT-SS-020, FAT-SS-030, FAT-SS-040, FAT-SS-050, FAT-SS-060</t>
  </si>
  <si>
    <t>Covered (6)</t>
  </si>
  <si>
    <t>FDS-09-009</t>
  </si>
  <si>
    <t>Shift Instances, Event-Derived Runtime</t>
  </si>
  <si>
    <t>FAT-SHIFT-230</t>
  </si>
  <si>
    <t>FDS-09-010</t>
  </si>
  <si>
    <t>Shift-Downtime Association</t>
  </si>
  <si>
    <t>FAT-SHIFT-100, FAT-SHIFT-110</t>
  </si>
  <si>
    <t>FDS-09-012</t>
  </si>
  <si>
    <t>Shift Schedule Import</t>
  </si>
  <si>
    <t>FAT-SS-070, FAT-SS-080</t>
  </si>
  <si>
    <t>FDS-09-013</t>
  </si>
  <si>
    <t>End-of-Shift Time Entry</t>
  </si>
  <si>
    <t>FAT-SHIFT-120, FAT-SHIFT-130, FAT-SHIFT-140</t>
  </si>
  <si>
    <t>FDS-09-014</t>
  </si>
  <si>
    <t>Early-Start Behaviour</t>
  </si>
  <si>
    <t>FAT-SHIFT-150, FAT-SHIFT-160</t>
  </si>
  <si>
    <t>FDS-09-015</t>
  </si>
  <si>
    <t>Shift-End Summary Screen</t>
  </si>
  <si>
    <t>FAT-SHIFT-170, FAT-SHIFT-180</t>
  </si>
  <si>
    <t>FDS-09-011</t>
  </si>
  <si>
    <t>OEE Scope Boundary</t>
  </si>
  <si>
    <t>9.5 OEE</t>
  </si>
  <si>
    <t>FDS-10-001</t>
  </si>
  <si>
    <t>MIP Touch Points</t>
  </si>
  <si>
    <t>10.2 MIP Handshake Protocol</t>
  </si>
  <si>
    <t>FAT-PLC-010, FAT-PLC-020</t>
  </si>
  <si>
    <t>FDS-10-002</t>
  </si>
  <si>
    <t>MIP Transaction Flow</t>
  </si>
  <si>
    <t>FAT-PLC-030, FAT-PLC-040</t>
  </si>
  <si>
    <t>FDS-10-003</t>
  </si>
  <si>
    <t>MES Alarms</t>
  </si>
  <si>
    <t>FAT-PLC-050, FAT-PLC-060</t>
  </si>
  <si>
    <t>FDS-10-004</t>
  </si>
  <si>
    <t>Disposition-Based Lines</t>
  </si>
  <si>
    <t>10.3 Non-Serialized Line Integration</t>
  </si>
  <si>
    <t>FAT-PLC-070, FAT-PLC-080</t>
  </si>
  <si>
    <t>FDS-10-005</t>
  </si>
  <si>
    <t>Vision / Operator Conflict — Line-Stop Semantics</t>
  </si>
  <si>
    <t>FAT-PLC-090, FAT-PLC-100, FAT-PLC-110</t>
  </si>
  <si>
    <t>FDS-10-009</t>
  </si>
  <si>
    <t>10-Consecutive-Fail Escalation</t>
  </si>
  <si>
    <t>FAT-PLC-120</t>
  </si>
  <si>
    <t>FDS-10-010</t>
  </si>
  <si>
    <t>Failure-Type Branching</t>
  </si>
  <si>
    <t>FAT-PLC-130</t>
  </si>
  <si>
    <t>FDS-10-011</t>
  </si>
  <si>
    <t>Hold Release Path</t>
  </si>
  <si>
    <t>FAT-PLC-140, FAT-PLC-150</t>
  </si>
  <si>
    <t>FDS-10-012</t>
  </si>
  <si>
    <t>Controlled Run Tag (CRT) Workflow</t>
  </si>
  <si>
    <t>FAT-PLC-160, FAT-PLC-170</t>
  </si>
  <si>
    <t>FDS-10-006</t>
  </si>
  <si>
    <t>OmniServer Scale Reads</t>
  </si>
  <si>
    <t>10.4 Scale Integration</t>
  </si>
  <si>
    <t>FAT-PLC-180, FAT-PLC-190</t>
  </si>
  <si>
    <t>FDS-10-007</t>
  </si>
  <si>
    <t>Barcode Scanners</t>
  </si>
  <si>
    <t>10.5 Barcode Integration</t>
  </si>
  <si>
    <t>FAT-PLC-200, FAT-PLC-210</t>
  </si>
  <si>
    <t>FDS-10-008</t>
  </si>
  <si>
    <t>Zebra Printer Integration</t>
  </si>
  <si>
    <t>FAT-LBL-140, FAT-LBL-150</t>
  </si>
  <si>
    <t>FDS-10-013</t>
  </si>
  <si>
    <t>Confirmation Method LocationAttribute</t>
  </si>
  <si>
    <t>FAT-PLC-220, FAT-PLC-230</t>
  </si>
  <si>
    <t>FDS-11-001</t>
  </si>
  <si>
    <t>Operation Log</t>
  </si>
  <si>
    <t>11.2 Log Types</t>
  </si>
  <si>
    <t>FAT-AUD-010, FAT-AUD-020</t>
  </si>
  <si>
    <t>FDS-11-002</t>
  </si>
  <si>
    <t>Configuration Log</t>
  </si>
  <si>
    <t>FAT-AUD-030, FAT-AUD-040</t>
  </si>
  <si>
    <t>FDS-11-003</t>
  </si>
  <si>
    <t>Interface Log</t>
  </si>
  <si>
    <t>FAT-AUD-050</t>
  </si>
  <si>
    <t>FDS-11-004</t>
  </si>
  <si>
    <t>Failure Log</t>
  </si>
  <si>
    <t>FAT-AUD-060, FAT-AUD-070</t>
  </si>
  <si>
    <t>FDS-11-005</t>
  </si>
  <si>
    <t>High-Fidelity Interface Logging</t>
  </si>
  <si>
    <t>FAT-AUD-080</t>
  </si>
  <si>
    <t>FDS-11-006</t>
  </si>
  <si>
    <t>Event Type Vocabulary</t>
  </si>
  <si>
    <t>11.3 Normalized Vocabularies</t>
  </si>
  <si>
    <t>FAT-AUD-090</t>
  </si>
  <si>
    <t>FDS-11-007</t>
  </si>
  <si>
    <t>Entity Type Vocabulary</t>
  </si>
  <si>
    <t>FAT-AUD-100</t>
  </si>
  <si>
    <t>FDS-11-008</t>
  </si>
  <si>
    <t>Code-String Signatures for Shared Audit Procs</t>
  </si>
  <si>
    <t>FAT-AUD-110</t>
  </si>
  <si>
    <t>FDS-11-011</t>
  </si>
  <si>
    <t>Ignition JDBC Single-Result-Set Convention</t>
  </si>
  <si>
    <t>FAT-AUD-120</t>
  </si>
  <si>
    <t>FDS-11-009</t>
  </si>
  <si>
    <t>Retention Policy</t>
  </si>
  <si>
    <t>11.4 Data Retention</t>
  </si>
  <si>
    <t>FAT-AUD-130</t>
  </si>
  <si>
    <t>FDS-11-010</t>
  </si>
  <si>
    <t>BIGINT Primary Keys</t>
  </si>
  <si>
    <t>FAT-AUD-140</t>
  </si>
  <si>
    <t>FDS-12-001</t>
  </si>
  <si>
    <t>LOT Genealogy Report</t>
  </si>
  <si>
    <t>12.2 Traceability Reports</t>
  </si>
  <si>
    <t>FDS-12-002</t>
  </si>
  <si>
    <t>Serialized Item Search</t>
  </si>
  <si>
    <t>FDS-12-003</t>
  </si>
  <si>
    <t>Container Search</t>
  </si>
  <si>
    <t>FDS-12-004</t>
  </si>
  <si>
    <t>LOT Search</t>
  </si>
  <si>
    <t>FDS-12-005</t>
  </si>
  <si>
    <t>Die Shot Report</t>
  </si>
  <si>
    <t>12.3 Production Reports (Replacing Productivity DB)</t>
  </si>
  <si>
    <t>5.6.6</t>
  </si>
  <si>
    <t>FAT-SHIFT-190</t>
  </si>
  <si>
    <t>FDS-12-006</t>
  </si>
  <si>
    <t>Rejects Report</t>
  </si>
  <si>
    <t>FAT-SHIFT-200</t>
  </si>
  <si>
    <t>FDS-12-007</t>
  </si>
  <si>
    <t>Downtime Report</t>
  </si>
  <si>
    <t>3.15.0</t>
  </si>
  <si>
    <t>FAT-SHIFT-210</t>
  </si>
  <si>
    <t>FDS-12-008</t>
  </si>
  <si>
    <t>Production Report</t>
  </si>
  <si>
    <t>FAT-SHIFT-220</t>
  </si>
  <si>
    <t>FDS-12-009</t>
  </si>
  <si>
    <t>In-Process LOT Tracking</t>
  </si>
  <si>
    <t>12.4 Operational Reports</t>
  </si>
  <si>
    <t>FDS-12-010</t>
  </si>
  <si>
    <t>Hold Status Report</t>
  </si>
  <si>
    <t>FDS-12-011</t>
  </si>
  <si>
    <t>Shipping History</t>
  </si>
  <si>
    <t>FDS-12-012</t>
  </si>
  <si>
    <t>Home-Tile Trace Access</t>
  </si>
  <si>
    <t>12.5 Global Trace Tool</t>
  </si>
  <si>
    <t>FDS-12-013</t>
  </si>
  <si>
    <t>Trace Input</t>
  </si>
  <si>
    <t>FDS-12-014</t>
  </si>
  <si>
    <t>Trace Output</t>
  </si>
  <si>
    <t>FDS-12-015</t>
  </si>
  <si>
    <t>Banners-Only In-MVP</t>
  </si>
  <si>
    <t>12.6 Notifications Posture</t>
  </si>
  <si>
    <t>FDS-13-001</t>
  </si>
  <si>
    <t>AIM Interface Methods</t>
  </si>
  <si>
    <t>13.1 AIM (Honda EDI)</t>
  </si>
  <si>
    <t>FAT-LBL-160</t>
  </si>
  <si>
    <t>FDS-13-002</t>
  </si>
  <si>
    <t>AIM Error Handling</t>
  </si>
  <si>
    <t>FAT-LBL-170</t>
  </si>
  <si>
    <t>FDS-13-003</t>
  </si>
  <si>
    <t>AIM Availability</t>
  </si>
  <si>
    <t>FAT-LBL-180</t>
  </si>
  <si>
    <t>FDS-13-004</t>
  </si>
  <si>
    <t>Macola Scope Boundary</t>
  </si>
  <si>
    <t>13.2 Macola ERP</t>
  </si>
  <si>
    <t>FDS-13-005</t>
  </si>
  <si>
    <t>Intelex Scope Boundary</t>
  </si>
  <si>
    <t>13.3 Intelex (Quality Management)</t>
  </si>
  <si>
    <t>FDS-13-006</t>
  </si>
  <si>
    <t>SCADA Scope Boundary</t>
  </si>
  <si>
    <t>13.4 SCADA / Process Dashboards</t>
  </si>
  <si>
    <t>FDS-14-001</t>
  </si>
  <si>
    <t>Seed Data (MVP — Not Conditional)</t>
  </si>
  <si>
    <t>14.1 Overview</t>
  </si>
  <si>
    <t>FAT-ENV-190</t>
  </si>
  <si>
    <t>FDS-14-002</t>
  </si>
  <si>
    <t>Legacy MES Migration (Conditional)</t>
  </si>
  <si>
    <t>—</t>
  </si>
  <si>
    <t>Conditional — no test</t>
  </si>
  <si>
    <t>FDS-14-003</t>
  </si>
  <si>
    <t>Productivity DB Migration (Conditional)</t>
  </si>
  <si>
    <t>FDS-14-004</t>
  </si>
  <si>
    <t>Migration Validation</t>
  </si>
  <si>
    <t>FDS-14-005</t>
  </si>
  <si>
    <t>Flexware BOM Import</t>
  </si>
  <si>
    <t>FAT-RB-120</t>
  </si>
  <si>
    <t>FDS-15-001</t>
  </si>
  <si>
    <t>Phased Rollout</t>
  </si>
  <si>
    <t>15.1 Deployment Approach</t>
  </si>
  <si>
    <t>FAT-ENV-200</t>
  </si>
  <si>
    <t>FDS-15-002</t>
  </si>
  <si>
    <t>Shadow Commissioning</t>
  </si>
  <si>
    <t>6.1.4</t>
  </si>
  <si>
    <t>FAT-ENV-210</t>
  </si>
  <si>
    <t>FDS-15-003</t>
  </si>
  <si>
    <t>Factory Acceptance Testing (FAT)</t>
  </si>
  <si>
    <t>FAT-ENV-220</t>
  </si>
  <si>
    <t>FDS-15-004</t>
  </si>
  <si>
    <t>Site Acceptance Testing (SAT)</t>
  </si>
  <si>
    <t>FAT-ENV-230</t>
  </si>
  <si>
    <t>FDS-15-005</t>
  </si>
  <si>
    <t>Go-Live Support</t>
  </si>
  <si>
    <t>FAT-ENV-240</t>
  </si>
  <si>
    <t>FDS-15-006</t>
  </si>
  <si>
    <t>Rollback Plan</t>
  </si>
  <si>
    <t>FAT-ENV-250</t>
  </si>
  <si>
    <t>FDS-15-007</t>
  </si>
  <si>
    <t>Process Change: Real-Time Data Entry</t>
  </si>
  <si>
    <t>15.2 Change Management</t>
  </si>
  <si>
    <t>FAT-ENV-260</t>
  </si>
  <si>
    <t>FDS-15-008</t>
  </si>
  <si>
    <t>Operator Training</t>
  </si>
  <si>
    <t>FAT-ENV-270</t>
  </si>
  <si>
    <t>FDS-16-001</t>
  </si>
  <si>
    <t>IdentifierSequence Table</t>
  </si>
  <si>
    <t>FDS-16-002</t>
  </si>
  <si>
    <t>IdentifierSequence_Next Proc</t>
  </si>
  <si>
    <t>FDS-16-003</t>
  </si>
  <si>
    <t>Cutover-Day Seeding</t>
  </si>
  <si>
    <t>FDS-01-001  —  Ignition Gateway</t>
  </si>
  <si>
    <t>FAT-ENV-010</t>
  </si>
  <si>
    <t>Gateway inspection</t>
  </si>
  <si>
    <t>FAT gateway running</t>
  </si>
  <si>
    <t>On the Ignition Gateway status page, show the Gateway version, OS, and running module set</t>
  </si>
  <si>
    <t>Single Ignition Gateway on Windows Server (&gt;= 2019) hosting the Perspective project, OPC connections, Tag Historian, and Gateway scripts; version and edition displayed</t>
  </si>
  <si>
    <t>HK</t>
  </si>
  <si>
    <t>witnessed by inspection</t>
  </si>
  <si>
    <t>FAT-ENV-020</t>
  </si>
  <si>
    <t>Gateway status page open</t>
  </si>
  <si>
    <t>Show the loaded MPP Perspective project and its Gateway timer/scheduled scripts</t>
  </si>
  <si>
    <t>MPP project is loaded and running; Gateway-scoped scripts (shift ticker, PLC watchers) are present and enabled</t>
  </si>
  <si>
    <t>FDS-01-002  —  Database Server</t>
  </si>
  <si>
    <t>Database server inspection</t>
  </si>
  <si>
    <t>SQL Server instance reachable</t>
  </si>
  <si>
    <t>Connect to the MES database and show product version, edition, and the schema list</t>
  </si>
  <si>
    <t>SQL Server 2022 Standard; MES database exposes the 8 schemas (Location, Parts, Lots, Workorder, Quality, OEE, Tools, Audit)</t>
  </si>
  <si>
    <t>FDS-01-003  —  Redundancy</t>
  </si>
  <si>
    <t>Redundancy posture</t>
  </si>
  <si>
    <t>Gateway config visible</t>
  </si>
  <si>
    <t>Confirm the current redundancy configuration</t>
  </si>
  <si>
    <t>No gateway redundancy is configured (out of current scope); architecture confirmed to permit adding a redundant gateway later with no schema or application change</t>
  </si>
  <si>
    <t>Not needed, production has hardware redundancy | [insp] needs live/witness: MANUAL — gateway redundancy posture + architectural 'permits later addition' judgment; not settleable from repo (gateway config not in tree)</t>
  </si>
  <si>
    <t>FDS-01-004  —  Development/Test Environment</t>
  </si>
  <si>
    <t>Dev/Test environment</t>
  </si>
  <si>
    <t>Access to non-prod environment</t>
  </si>
  <si>
    <t>Show the separate development/test Ignition Gateway and its database</t>
  </si>
  <si>
    <t>A dedicated dev/test gateway exists mirroring production spec, backed by its own MES database (MPP_MES_Dev / MPP_MES_Test), separate from production</t>
  </si>
  <si>
    <t>Not needed | [insp] needs live/witness: LIVE — separate dev/test gateway + own DB is an environment fact; repo references MPP_MES_Dev/MPP_MES_Test but existence/mirroring of the gateway is not statically inspectable</t>
  </si>
  <si>
    <t>FDS-01-005  —  Event Immutability      (FRS 3.5.4, 3.9.6)</t>
  </si>
  <si>
    <t>Event immutability</t>
  </si>
  <si>
    <t>A LOT with recorded production events</t>
  </si>
  <si>
    <t>Attempt to alter or delete a posted production/genealogy event; then record a correction</t>
  </si>
  <si>
    <t>Evidence and traceability records cannot be updated or deleted; the correction is written as a NEW event, leaving the original intact (append-only)</t>
  </si>
  <si>
    <t>this should be moved to validate where applicable. | [insp] needs live/witness: LIVE — append-only is design-only (no CREATE TRIGGER / DENY UPDATE/DELETE found anywhere in sql/); 'cannot be updated or deleted' requires a witnessed live attempt</t>
  </si>
  <si>
    <t>FDS-01-006  —  External Interface Dispatch Pattern      (FRS 3.17.4, 5.5.1)</t>
  </si>
  <si>
    <t>Interface logging</t>
  </si>
  <si>
    <t>Terminal with an assigned Zebra printer</t>
  </si>
  <si>
    <t>Trigger an external call (print a shipping/LOT label) and open Audit.InterfaceLog</t>
  </si>
  <si>
    <t>The external call is logged to Audit.InterfaceLog with request payload, response/result, and any error condition</t>
  </si>
  <si>
    <t>Need to add an interface log UI | [insp] ShippingDispatcher._logDispatch (code.py:65-81) + LotLabel._logDispatch call audit/Audit_LogInterfaceCall which writes RequestPayload/ResponsePayload/ErrorCondition/ErrorDescription (R__Audit_Audit_LogInterfaceCall.sql:32-55; InterfaceLog cols 0001:201-213)</t>
  </si>
  <si>
    <t>FDS-01-008  —  OPC Server Connections</t>
  </si>
  <si>
    <t>OPC connections</t>
  </si>
  <si>
    <t>FAT uses simulated devices</t>
  </si>
  <si>
    <t>Show the Gateway OPC/device connections (or the MPP_Sim simulator standing in for them)</t>
  </si>
  <si>
    <t>OPC/device connections are configured for the scale, assembly PLC, vision, and MIP roles; during FAT these are exercised via the MPP_Sim simulator (live OPC verified at SAT)</t>
  </si>
  <si>
    <t>live OmniServer/TOPServer/Cognex/MIP deferred to SAT (FDS-15-004)</t>
  </si>
  <si>
    <t>FDS-01-009  —  OPC Tag Namespace</t>
  </si>
  <si>
    <t>OPC tag namespace</t>
  </si>
  <si>
    <t>OPC/simulated tags visible</t>
  </si>
  <si>
    <t>Inspect the tag paths for the configured devices</t>
  </si>
  <si>
    <t>Tags follow the consistent [Server]/[Line].[Device].[Tag] namespace convention per the OPC tag map</t>
  </si>
  <si>
    <t>FDS-01-010  —  Authentication      (FRS 5.3)</t>
  </si>
  <si>
    <t>FAT-ENV-130</t>
  </si>
  <si>
    <t>AD user source configured</t>
  </si>
  <si>
    <t>Log in to an interactive (Quality/Supervisor/Engineering/Admin) screen with an AD credential</t>
  </si>
  <si>
    <t>Interactive user authenticates against Active Directory via the Ignition AD User Source</t>
  </si>
  <si>
    <t>FAT-ENV-140</t>
  </si>
  <si>
    <t>Shop-floor terminal open</t>
  </si>
  <si>
    <t>Identify an operator at a shop-floor terminal</t>
  </si>
  <si>
    <t>Operator is identified by initials entry only (no AD authentication); the AppUser row exists for attribution and carries no AD account</t>
  </si>
  <si>
    <t>Check if a log is captured when a operator changes users on terminal</t>
  </si>
  <si>
    <t>FDS-01-011  —  Authorization</t>
  </si>
  <si>
    <t>Two users in different AD groups</t>
  </si>
  <si>
    <t>Access a role-restricted screen/function as an authorized then an unauthorized user</t>
  </si>
  <si>
    <t>Access is granted or denied per Ignition security roles/zones mapped from AD groups; no custom RBAC tables involved</t>
  </si>
  <si>
    <t>FDS-01-012  —  Audit Attribution</t>
  </si>
  <si>
    <t>Audit attribution</t>
  </si>
  <si>
    <t>Operator logged in at a known terminal</t>
  </si>
  <si>
    <t>Perform a state-changing action and open the resulting audit/event record</t>
  </si>
  <si>
    <t>The record carries the acting AppUser.Id and the TerminalLocationId; system-triggered events are attributed to the designated system user</t>
  </si>
  <si>
    <t>FDS-01-014  —  External Integration Pattern (Gateway-script-async)</t>
  </si>
  <si>
    <t>FAT-ENV-170</t>
  </si>
  <si>
    <t>Async dispatch</t>
  </si>
  <si>
    <t>Container ready to complete with an assigned printer</t>
  </si>
  <si>
    <t>Complete a container and observe the label dispatch</t>
  </si>
  <si>
    <t>The proc commits DB state (ShippingLabel row, PrintedAt NULL) and returns immediately; the print is dispatched async via sendRequestAsync — the operator is not blocked on printer latency</t>
  </si>
  <si>
    <t>move to assembly out testing | [insp] Print dispatch is SYNCHRONOUS, not async via sendRequestAsync: LotLabel.printLabel / ShippingDispatcher.dispatch are synchronous raw-TCP; docs/ARC2_FDS_CONFORMANCE.md:143 explicitly notes 'dispatch sync not sendRequestAsync (006a)'. (Container_Complete does commit ShippingLabel PrintedAt-NULL and return, but the specified async mechanism is absent) || RE-CHECK 2026-08-11: -&gt;Pass dispatch moved to Gateway-async (ShippingDispatcher worker, 3x/backoff) + PrintFailureGateway sweep (7050adc7).</t>
  </si>
  <si>
    <t>FAT-ENV-180</t>
  </si>
  <si>
    <t>Print handler forced to fail (printer offline)</t>
  </si>
  <si>
    <t>Complete a container while the printer is unavailable</t>
  </si>
  <si>
    <t>Failure surfaces to the operator from persisted DB state (not in-flight handler state) and is logged; visibility survives a Gateway restart</t>
  </si>
  <si>
    <t>move to assembly out testing | [insp] needs live/witness: HW — print-failure lifecycle is a guarded skeleton (PrintFailureGateway.sweepTick/broadcastTick are no-ops, stranded-read + PrintFailedAt mark procs deferred, code.py:18-29); also inherently needs a forced printer-offline + gateway-restart witness</t>
  </si>
  <si>
    <t>FDS-13-004  —  Macola Scope Boundary   [FUTURE]</t>
  </si>
  <si>
    <t xml:space="preserve">   (out of scope — no test required)</t>
  </si>
  <si>
    <t>FDS-13-005  —  Intelex Scope Boundary   [FUTURE]</t>
  </si>
  <si>
    <t>FDS-13-006  —  SCADA Scope Boundary   [FUTURE]</t>
  </si>
  <si>
    <t>FDS-14-001  —  Seed Data (MVP — Not Conditional)</t>
  </si>
  <si>
    <t>Seed data load</t>
  </si>
  <si>
    <t>Freshly provisioned FAT database</t>
  </si>
  <si>
    <t>Verify the required configuration seed data is present</t>
  </si>
  <si>
    <t>Location hierarchy (~230 machines/areas/inventory), item master, defect codes, downtime reason codes, shift schedules, active quality specs, and container configurations are all loaded</t>
  </si>
  <si>
    <t>configuration data, loaded regardless of migration decision</t>
  </si>
  <si>
    <t>FDS-15-002  —  Shadow Commissioning      (FRS 6.1.4)</t>
  </si>
  <si>
    <t>Deployment plan</t>
  </si>
  <si>
    <t>Deployment plan document available</t>
  </si>
  <si>
    <t>Review the shadow commissioning approach for an area</t>
  </si>
  <si>
    <t>Plan runs the new MES in parallel with the legacy system, operators dual-enter, validating WIP state, traceability, and report accuracy against legacy before go-live</t>
  </si>
  <si>
    <t>Need to validate this with customer | [insp] needs live/witness: MANUAL — shadow-commissioning deployment-plan document review + judgment</t>
  </si>
  <si>
    <t>FDS-15-003  —  Factory Acceptance Testing (FAT)</t>
  </si>
  <si>
    <t>FAT execution</t>
  </si>
  <si>
    <t>This FAT session underway</t>
  </si>
  <si>
    <t>Confirm the FAT is conducted off-site against simulated production data covering the required criteria</t>
  </si>
  <si>
    <t>FAT exercises LOT create/move/split/merge, production+consumption, container-to-label, hold/re-pack/release, simulated AIM, genealogy accuracy, and interlock validations</t>
  </si>
  <si>
    <t>can be removed | [insp] needs live/witness: MANUAL — confirmation that this FAT session is run off-site on simulated data covering the criteria is a live/process judgment</t>
  </si>
  <si>
    <t>FDS-15-004  —  Site Acceptance Testing (SAT)</t>
  </si>
  <si>
    <t>SAT plan</t>
  </si>
  <si>
    <t>SAT plan document available</t>
  </si>
  <si>
    <t>Review the on-site SAT plan</t>
  </si>
  <si>
    <t>SAT plan repeats all FAT criteria plus live PLC/MIP handshake, live scale/OmniServer, live Zebra printing, scanners, live AIM, and production-volume performance</t>
  </si>
  <si>
    <t>can be removed | [insp] needs live/witness: MANUAL — on-site SAT plan document review + live hardware scope</t>
  </si>
  <si>
    <t>FDS-15-005  —  Go-Live Support</t>
  </si>
  <si>
    <t>Go-live support</t>
  </si>
  <si>
    <t>Support agreement available</t>
  </si>
  <si>
    <t>Confirm the go-live support commitment</t>
  </si>
  <si>
    <t>On-site support covers the first 5 production days (24-hour coverage); remote support continues for 30 days after go-live</t>
  </si>
  <si>
    <t>can be removed | [insp] needs live/witness: MANUAL — go-live support agreement / commitment review</t>
  </si>
  <si>
    <t>FDS-15-006  —  Rollback Plan</t>
  </si>
  <si>
    <t>Rollback plan</t>
  </si>
  <si>
    <t>Rollback plan document available</t>
  </si>
  <si>
    <t>Review the per-phase rollback plan</t>
  </si>
  <si>
    <t>A documented rollback exists for each phase; the legacy system stays operational through the shadow period so an area can revert with no data loss</t>
  </si>
  <si>
    <t>TBD dependent of deployment plan | [insp] needs live/witness: MANUAL — per-phase rollback plan document review</t>
  </si>
  <si>
    <t>FDS-15-007  —  Process Change: Real-Time Data Entry      (FRS 5.6.6)</t>
  </si>
  <si>
    <t>Process change</t>
  </si>
  <si>
    <t>A shop-floor terminal at a work area</t>
  </si>
  <si>
    <t>Record production at point-of-action rather than on paper for later clerk entry</t>
  </si>
  <si>
    <t>Production data is captured in real time at the machine; no data-entry-clerk step is required</t>
  </si>
  <si>
    <t>move to die cast testing | [insp] needs live/witness: MANUAL — process-change (real-time point-of-action capture, no clerk step) is an operational judgment on the running system</t>
  </si>
  <si>
    <t>FDS-15-008  —  Operator Training</t>
  </si>
  <si>
    <t>Operator training</t>
  </si>
  <si>
    <t>Training materials available</t>
  </si>
  <si>
    <t>Review the operator training package for an area</t>
  </si>
  <si>
    <t>Training covers terminal login, LOT creation, production recording, reject entry, downtime logging, and that area's operation-template screens; delivered before shadow commissioning</t>
  </si>
  <si>
    <t>witnessed against training materials | [insp] needs live/witness: MANUAL — operator training package / materials review</t>
  </si>
  <si>
    <t>FDS-02-001  —  ISA-95 Location Types</t>
  </si>
  <si>
    <t>FAT-PH-010</t>
  </si>
  <si>
    <t>ISA-95 location types seeded</t>
  </si>
  <si>
    <t>Config Tool open at Plant Hierarchy</t>
  </si>
  <si>
    <t>Inspect the location-type tiers available in the hierarchy</t>
  </si>
  <si>
    <t>Five ISA-95 types exist — Enterprise, Site, Area, Work Center, Cell — with ascending hierarchy levels</t>
  </si>
  <si>
    <t>FAT-PH-020</t>
  </si>
  <si>
    <t>Location types are read-only</t>
  </si>
  <si>
    <t>Attempt to rename or delete one of the five location types</t>
  </si>
  <si>
    <t>No edit/delete affordance for the LocationType tiers; they are seed-locked and not editable by engineering</t>
  </si>
  <si>
    <t>FDS-02-002  —  Hierarchy Enforcement</t>
  </si>
  <si>
    <t>FAT-PH-030</t>
  </si>
  <si>
    <t>Flexible tier nesting</t>
  </si>
  <si>
    <t>An Area with no Work Center tier beneath it</t>
  </si>
  <si>
    <t>Create a Cell directly under the Area</t>
  </si>
  <si>
    <t>Cell is accepted as a direct child of the Area — strict sequential tiers are not required, only child level &gt;= parent level</t>
  </si>
  <si>
    <t>FAT-PH-040</t>
  </si>
  <si>
    <t>Relocation via deprecate + recreate</t>
  </si>
  <si>
    <t>An existing Location in the tree</t>
  </si>
  <si>
    <t>Attempt to change a Location's parent</t>
  </si>
  <si>
    <t>No reparent control exists; ParentLocationId is immutable — relocation is done by deprecating the row and creating a new one under the new parent, preserving history</t>
  </si>
  <si>
    <t>FDS-02-003  —  Areas as Instances      (FRS 3.3.2, 3.7.1)</t>
  </si>
  <si>
    <t>Areas seeded as instances</t>
  </si>
  <si>
    <t>Inspect the Area-tier nodes under the Site</t>
  </si>
  <si>
    <t>MPP's operational areas exist as Location instances (Die Cast, Trim Shop, Machine Shop, Production Control, Quality Control) with ProductionArea / SupportArea definitions</t>
  </si>
  <si>
    <t>FDS-02-004  —  Location Type Definitions (Kinds)</t>
  </si>
  <si>
    <t>FAT-PH-060</t>
  </si>
  <si>
    <t>Location kinds per tier</t>
  </si>
  <si>
    <t>Config Tool open at the Location Type Definition editor</t>
  </si>
  <si>
    <t>Review the definitions (kinds) available within each tier</t>
  </si>
  <si>
    <t>Each tier lists its seeded kinds (e.g. Cell -&gt; Terminal, DieCastMachine, CNCMachine, TrimPress, InventoryLocation, Scale); every Location instance references exactly one</t>
  </si>
  <si>
    <t>Change naming of location kinds to location definitions to keep with the standard</t>
  </si>
  <si>
    <t>FAT-PH-070</t>
  </si>
  <si>
    <t>Add a new kind</t>
  </si>
  <si>
    <t>Location Type Definition editor open</t>
  </si>
  <si>
    <t>Create a new LocationTypeDefinition under a tier and save</t>
  </si>
  <si>
    <t>New kind is added and available for new Location instances with no schema change; change is audited</t>
  </si>
  <si>
    <t>FDS-02-005  —  Attribute Schemas per Definition</t>
  </si>
  <si>
    <t>Attribute schema per kind</t>
  </si>
  <si>
    <t>A Location Type Definition selected in the editor</t>
  </si>
  <si>
    <t>Define attribute definitions on the kind and compare against another kind at the same tier</t>
  </si>
  <si>
    <t>Attributes attach per-definition (e.g. DieCastMachine carries Tonnage/RefCycleTime; Terminal carries IpAddress/DefaultPrinter/HasBarcodeScanner) — schemas are disjoint across kinds</t>
  </si>
  <si>
    <t>FDS-02-006  —  Attribute Value Integrity</t>
  </si>
  <si>
    <t>Attribute value integrity</t>
  </si>
  <si>
    <t>A Terminal-kind Location selected in the tree</t>
  </si>
  <si>
    <t>Open its attribute values and review the offered attributes</t>
  </si>
  <si>
    <t>Only attributes belonging to the Terminal definition are offered; a DieCastMachine attribute (e.g. Tonnage) cannot be set on a Terminal</t>
  </si>
  <si>
    <t>Remove cavity count from machine on die cast type definition</t>
  </si>
  <si>
    <t>FDS-02-007  —  Machine Seed Data</t>
  </si>
  <si>
    <t>Machine seed data loaded</t>
  </si>
  <si>
    <t>Deployment seed applied</t>
  </si>
  <si>
    <t>Verify the FRS Appendix B machines are present as Cell Locations</t>
  </si>
  <si>
    <t>The ~230 machines are loaded as Cell-tier Locations under their Areas/Work Centers with appropriate kinds and seeded attribute values (tonnage, cycle time where available)</t>
  </si>
  <si>
    <t>deploy-day / cutover seed</t>
  </si>
  <si>
    <t>FDS-03-014  —  Eligibility Map with Hierarchy Cascade      (FRS 3.4.7)</t>
  </si>
  <si>
    <t>FAT-PH-110</t>
  </si>
  <si>
    <t>Eligibility hierarchy cascade</t>
  </si>
  <si>
    <t>A part with an ItemLocation row at the Die Cast Area tier, no Cell-level row</t>
  </si>
  <si>
    <t>Resolve eligibility for that part at a descendant Cell</t>
  </si>
  <si>
    <t>Eligibility resolves by walking up Cell -&gt; Work Center -&gt; Area -&gt; Site; the Area-tier row matches and the part is eligible at the Cell</t>
  </si>
  <si>
    <t>FAT-PH-120</t>
  </si>
  <si>
    <t>No eligibility match rejects</t>
  </si>
  <si>
    <t>A part with no ItemLocation row anywhere in a Cell's chain</t>
  </si>
  <si>
    <t>Resolve eligibility for that part at the Cell</t>
  </si>
  <si>
    <t>Eligibility check returns not-eligible with a clear reject message naming the part and cell</t>
  </si>
  <si>
    <t>FDS-03-015  —  Eligibility Management</t>
  </si>
  <si>
    <t>Eligibility management CRUD</t>
  </si>
  <si>
    <t>Configuration Tool Eligibility screen open for an item</t>
  </si>
  <si>
    <t>Add an ItemLocation row (target any tier — Area, Work Center, or Cell), update it, and remove another</t>
  </si>
  <si>
    <t>Rows are created/updated/removed with the Location picker allowing any tier; every change is logged to the config audit log</t>
  </si>
  <si>
    <t>Should be moved to item master</t>
  </si>
  <si>
    <t>FDS-03-018  —  Consumption Metadata on Item-Location Eligibility</t>
  </si>
  <si>
    <t>Consumption metadata on eligibility</t>
  </si>
  <si>
    <t>An eligibility row being edited</t>
  </si>
  <si>
    <t>Enable IsConsumptionPoint and set Min / Max / Default quantities</t>
  </si>
  <si>
    <t>Min/Max/Default inputs appear when IsConsumptionPoint is enabled and persist on the row; they drive the runtime Allocations grid (pre-fill Default, validate Min &lt;= entered &lt;= Max)</t>
  </si>
  <si>
    <t>FDS-03-001  —  Item Records</t>
  </si>
  <si>
    <t>FAT-ITM-010</t>
  </si>
  <si>
    <t>Item master CRUD</t>
  </si>
  <si>
    <t>Config Tool open at Item Master</t>
  </si>
  <si>
    <t>Create a new part and edit an existing part</t>
  </si>
  <si>
    <t>Part is created and saved; edits persist; changes are audited (config log)</t>
  </si>
  <si>
    <t>FAT-ITM-020</t>
  </si>
  <si>
    <t>Item master fields</t>
  </si>
  <si>
    <t>An item open in Item Master</t>
  </si>
  <si>
    <t>Review the item's data fields</t>
  </si>
  <si>
    <t>Part number, description, units of measure, and related master-data fields are present and editable</t>
  </si>
  <si>
    <t>FAT-ITM-040</t>
  </si>
  <si>
    <t>Macola part number</t>
  </si>
  <si>
    <t>Enter the associated Macola part number</t>
  </si>
  <si>
    <t>Macola part number attribute is stored and displayed</t>
  </si>
  <si>
    <t>FAT-ITM-050</t>
  </si>
  <si>
    <t>Max LOT size reasonability</t>
  </si>
  <si>
    <t>A part with Max LOT Size set</t>
  </si>
  <si>
    <t>On the shop floor, attempt to set a piece count above Max LOT Size</t>
  </si>
  <si>
    <t>Entry is flagged/blocked as unreasonable per the part's Max LOT Size</t>
  </si>
  <si>
    <t>Max parts per location faild the check when checking a lot of greater quantity in the lineside inventory || RE-CHECK 2026-08-11: STILL OPEN - field decision needed: MaxLotSize (basket) vs MaxParts (location). MaxParts enforced; MaxLotSize piece-entry guard not built.</t>
  </si>
  <si>
    <t>FDS-03-002  —  Item Types</t>
  </si>
  <si>
    <t>Item types</t>
  </si>
  <si>
    <t>Assign an item type to a part</t>
  </si>
  <si>
    <t>Item type is stored and constrains downstream routing/area eligibility</t>
  </si>
  <si>
    <t>Item type gets set on creation</t>
  </si>
  <si>
    <t>FDS-03-003  —  Item Deprecation</t>
  </si>
  <si>
    <t>Item deprecation</t>
  </si>
  <si>
    <t>An item with no live LOTs</t>
  </si>
  <si>
    <t>Deprecate a part</t>
  </si>
  <si>
    <t>Part is soft-deleted (DeprecatedAt); owned config cascades; blocked if a live LOT exists</t>
  </si>
  <si>
    <t>FAT-ITM-080</t>
  </si>
  <si>
    <t>PLC part mapping</t>
  </si>
  <si>
    <t>An item that maps to a PLC part identifier</t>
  </si>
  <si>
    <t>Set the item's PlcId in Item Master</t>
  </si>
  <si>
    <t>PlcId is saved on the item and used by vision/PLC part verification</t>
  </si>
  <si>
    <t>Needs to be investigated during FAT | [insp] PlcId is saved on the item: Parts.Item.PlcId column exists; Parts.Item_SetPlcId proc UPDATEs it with audit (R__Parts_Item_SetPlcId.sql:46); ItemMaster/Identity/view.json FieldPlcId bound to view.custom.state.editDraft.PlcId (line 580/596). PlcId is the stable per-part vision/PLC recipe integer consumed by the PLC watchers/Sim (BlueRidge.Sim); the runtime vision-verification usage itself is not witnessed here, but the set-and-save step is concrete.</t>
  </si>
  <si>
    <t>FDS-03-004  —  BOM Structure      (FRS 3.4.2)</t>
  </si>
  <si>
    <t>FAT-RB-010</t>
  </si>
  <si>
    <t>Create a BOM</t>
  </si>
  <si>
    <t>Config Tool open at Item Master BOMs section for an assembled item</t>
  </si>
  <si>
    <t>Create a BOM and add component lines</t>
  </si>
  <si>
    <t>BOM is created with parent item, version number, and effective date; each line specifies child item, quantity per parent, UOM, and sort order</t>
  </si>
  <si>
    <t>FAT-RB-020</t>
  </si>
  <si>
    <t>Reorder BOM lines</t>
  </si>
  <si>
    <t>A draft BOM with multiple lines</t>
  </si>
  <si>
    <t>Reorder lines using the up/down arrow buttons</t>
  </si>
  <si>
    <t>Line sort order changes via arrows (no drag-and-drop); order persists on save</t>
  </si>
  <si>
    <t>FDS-03-005  —  BOM Versioning</t>
  </si>
  <si>
    <t>FAT-RB-030</t>
  </si>
  <si>
    <t>BOM versioning</t>
  </si>
  <si>
    <t>A published BOM</t>
  </si>
  <si>
    <t>Revise the BOM (create new version) and publish it</t>
  </si>
  <si>
    <t>A new version is created with a new EffectiveFrom; the prior version is soft-deleted (DeprecatedAt set) but remains queryable for historical traceability</t>
  </si>
  <si>
    <t>FAT-RB-040</t>
  </si>
  <si>
    <t>Historical BOM accuracy</t>
  </si>
  <si>
    <t>A part with a superseded BOM version</t>
  </si>
  <si>
    <t>Inspect an old production/LOT record that used the superseded version</t>
  </si>
  <si>
    <t>Production records FK to the BOM version active at time of manufacture; the historical version is preserved and resolvable</t>
  </si>
  <si>
    <t>There is noting that shows the BOM version on a lot || RE-CHECK 2026-08-11: -&gt;Pass as-built BOM version captured + surfaced on LOT detail (d979aefb, b8298b0b).</t>
  </si>
  <si>
    <t>FDS-03-006  —  Single-Level BOMs</t>
  </si>
  <si>
    <t>Single-level BOM</t>
  </si>
  <si>
    <t>A BOM open in the editor</t>
  </si>
  <si>
    <t>Review the BOM structure</t>
  </si>
  <si>
    <t>BOM is single-level (one parent -&gt; child lines); no nested/multi-level explosion is authored in the editor</t>
  </si>
  <si>
    <t>Not needed</t>
  </si>
  <si>
    <t>FDS-03-007  —  Route Structure      (FRS 3.11.1–3.11.4)</t>
  </si>
  <si>
    <t>Create a route template</t>
  </si>
  <si>
    <t>Config Tool open at Item Master Routes section for a manufactured item</t>
  </si>
  <si>
    <t>Route is created with item, version number, name, and effective date; soft-delete supported</t>
  </si>
  <si>
    <t>FDS-03-008  —  Route Steps</t>
  </si>
  <si>
    <t>FAT-RB-070</t>
  </si>
  <si>
    <t>Add route steps</t>
  </si>
  <si>
    <t>A draft route template</t>
  </si>
  <si>
    <t>Add ordered route steps</t>
  </si>
  <si>
    <t>Each step references an operation template, carries a sequence number and a required flag</t>
  </si>
  <si>
    <t>hk</t>
  </si>
  <si>
    <t>FAT-RB-080</t>
  </si>
  <si>
    <t>Reorder route steps</t>
  </si>
  <si>
    <t>A draft route with multiple steps</t>
  </si>
  <si>
    <t>Reorder steps using the up/down arrow buttons</t>
  </si>
  <si>
    <t>Step sequence changes via arrows and renumbers; order persists on save</t>
  </si>
  <si>
    <t>FDS-03-009  —  Route Steps Do Not Prescribe Machines</t>
  </si>
  <si>
    <t>Steps do not prescribe machines</t>
  </si>
  <si>
    <t>A route step open in the editor</t>
  </si>
  <si>
    <t>Inspect what a route step references</t>
  </si>
  <si>
    <t>Step references an operation template (operation role) only; there is no machine or location field — the operator picks an eligible machine at runtime</t>
  </si>
  <si>
    <t>Not needed | [insp] RouteStep references an operation template only, with no machine/location field. Data model RouteStep table columns = Id, RouteTemplateId, OperationTemplateId ('what happens'), SequenceNumber, IsRequired, Description (MPP_MES_DATA_MODEL.md:380-387). Parts.RouteStep_Add accepts only @OperationTemplateId/@IsRequired/@Description (R__Parts_RouteStep_Add.sql:32-37). No MachineId/LocationId anywhere on the step; operator picks eligible machine at runtime.</t>
  </si>
  <si>
    <t>FDS-03-010  —  Route Versioning</t>
  </si>
  <si>
    <t>Route versioning</t>
  </si>
  <si>
    <t>A published route template</t>
  </si>
  <si>
    <t>Revise the route (create new version) and publish it</t>
  </si>
  <si>
    <t>A new version is created; the prior version is retained and production records FK to the version active at execution time</t>
  </si>
  <si>
    <t>FDS-03-011  —  Operation Sequence Flexibility      (FRS 3.11.10)</t>
  </si>
  <si>
    <t>Operation sequence flexibility</t>
  </si>
  <si>
    <t>A route in use</t>
  </si>
  <si>
    <t>Insert an additional operation and delete an operation within the route</t>
  </si>
  <si>
    <t>Operations can be inserted and removed within the route, supporting parts that skip steps or need extra operations</t>
  </si>
  <si>
    <t>FDS-03-012  —  Operation Template Design</t>
  </si>
  <si>
    <t>FAT-OQ-010</t>
  </si>
  <si>
    <t>Create an operation template</t>
  </si>
  <si>
    <t>Config Tool open at the Operation Templates editor</t>
  </si>
  <si>
    <t>Create a new operation template</t>
  </si>
  <si>
    <t>Template is created with Code, Name, an OperationType role (DieCast, TrimIn/Out, MachiningIn/Out, AssemblyIn/Out), and optional description; starts in Draft</t>
  </si>
  <si>
    <t>FAT-OQ-020</t>
  </si>
  <si>
    <t>Data collection fields</t>
  </si>
  <si>
    <t>An operation template being edited</t>
  </si>
  <si>
    <t>Attach data collection fields and mark some required</t>
  </si>
  <si>
    <t>Fields are attached via the OperationTemplateField junction (from the DataCollectionField vocabulary) each with an IsRequired flag; the template is reusable across products</t>
  </si>
  <si>
    <t>FAT-OQ-030</t>
  </si>
  <si>
    <t>Operation template versioning</t>
  </si>
  <si>
    <t>A published operation template</t>
  </si>
  <si>
    <t>Create a new version of the template</t>
  </si>
  <si>
    <t>New version is created following the Draft/Published/Deprecated lifecycle; the prior version is retained</t>
  </si>
  <si>
    <t>[fixed 2026-08-07] Draft/Published/Deprecated lifecycle added (migration 0053 Parts.OperationTemplate.PublishedAt + OperationTemplate_Publish/_DiscardDraft). New Version now creates an editable Draft; prior published version retained until Publish (single-Published invariant). Editor: Publish button + Draft/Published badge. 91/91 SQL tests green; deployed to MPP_MES_Dev.</t>
  </si>
  <si>
    <t>FDS-08-008  —  Quality Spec Management      (FRS 3.16.1)</t>
  </si>
  <si>
    <t>FAT-OQ-050</t>
  </si>
  <si>
    <t>Create a quality spec</t>
  </si>
  <si>
    <t>Config Tool open at the Quality Specs editor</t>
  </si>
  <si>
    <t>Spec is created with a name, an optional associated item, an optional associated operation template, and a list of measurable attributes</t>
  </si>
  <si>
    <t>Quality spec screen needs to be revisited and checked.</t>
  </si>
  <si>
    <t>FAT-OQ-060</t>
  </si>
  <si>
    <t>Manage quality specs</t>
  </si>
  <si>
    <t>Existing quality specs listed</t>
  </si>
  <si>
    <t>Edit a spec's metadata (name, associations) and save</t>
  </si>
  <si>
    <t>Changes persist and are audited; specs are engineering-managed via the configuration tool</t>
  </si>
  <si>
    <t>FDS-08-009  —  Quality Spec Versioning      (FRS 3.16.2)</t>
  </si>
  <si>
    <t>Quality spec versioning</t>
  </si>
  <si>
    <t>A published quality spec version</t>
  </si>
  <si>
    <t>Revise the spec (create new version) and publish</t>
  </si>
  <si>
    <t>A new version is created with a new effective date; the prior version is soft-deleted; inspection records FK to the version active at time of inspection</t>
  </si>
  <si>
    <t>FDS-08-010  —  Quality Spec Attributes</t>
  </si>
  <si>
    <t>FAT-OQ-080</t>
  </si>
  <si>
    <t>Quality spec attributes</t>
  </si>
  <si>
    <t>A quality spec version being edited</t>
  </si>
  <si>
    <t>Define measurable attributes and reorder them</t>
  </si>
  <si>
    <t>Each attribute carries name / data type / UOM / target value / lower limit / upper limit / required flag / sort order; reordering is via up/down arrows</t>
  </si>
  <si>
    <t>FAT-OQ-090</t>
  </si>
  <si>
    <t>Attributes drive inspection screen</t>
  </si>
  <si>
    <t>A published spec with defined attributes</t>
  </si>
  <si>
    <t>Open the inspection screen for a LOT governed by the spec</t>
  </si>
  <si>
    <t>The inspection screen renders input fields dynamically from the spec's attribute definitions</t>
  </si>
  <si>
    <t>FDS-03-016  —  Container Config      (FRS 3.9.7)</t>
  </si>
  <si>
    <t>FAT-CC-010</t>
  </si>
  <si>
    <t>Create a container config</t>
  </si>
  <si>
    <t>Config Tool open at Item Master Container Config section for a finished good</t>
  </si>
  <si>
    <t>Create a container configuration</t>
  </si>
  <si>
    <t>Config is saved with trays per container, parts per tray, serialized flag, dunnage code, and customer code</t>
  </si>
  <si>
    <t>FAT-CC-020</t>
  </si>
  <si>
    <t>Container config persists</t>
  </si>
  <si>
    <t>A finished good with a saved container config</t>
  </si>
  <si>
    <t>Reopen the item and review the container config</t>
  </si>
  <si>
    <t>Fields persist and are the values that drive automatic container lifecycle management on the shop floor</t>
  </si>
  <si>
    <t>FDS-03-017  —  Container Closure Logic</t>
  </si>
  <si>
    <t>FAT-CC-030</t>
  </si>
  <si>
    <t>Closure method + capacity</t>
  </si>
  <si>
    <t>A non-serialized finished good's container config</t>
  </si>
  <si>
    <t>Set the ClosureMethod and review the derived capacity</t>
  </si>
  <si>
    <t>ClosureMethod is selectable (ByCount / ByWeight / ByVision); container capacity resolves to TraysPerContainer x PartsPerTray (capped by Item.MaxParts if set)</t>
  </si>
  <si>
    <t>auto-close fires on shop floor</t>
  </si>
  <si>
    <t>FAT-CC-040</t>
  </si>
  <si>
    <t>Serialized vs non-serialized</t>
  </si>
  <si>
    <t>Two configs — one serialized line, one non-serialized</t>
  </si>
  <si>
    <t>Compare how each is configured for closure</t>
  </si>
  <si>
    <t>Serialized config closes by part count via the MIP handshake; non-serialized config is two-stage (tray validates per ClosureMethod, container count increments per tray pass)</t>
  </si>
  <si>
    <t>missing serialization completely on part config || RE-CHECK 2026-08-11: -&gt;Pass Parts.ContainerConfig.IsSerialized exposed in Container Config editor (1f15c8bd).</t>
  </si>
  <si>
    <t>FDS-03-019  —  Per-Item Per-Location Piece Cap</t>
  </si>
  <si>
    <t>Per-item per-location piece cap</t>
  </si>
  <si>
    <t>An item with Parts.Item.MaxParts set</t>
  </si>
  <si>
    <t>On the shop floor, attempt to scan pieces into a location that would exceed MaxParts for that item</t>
  </si>
  <si>
    <t>Scan-in is rejected when total pieces of the item across all non-Closed LOTs at the location plus the incoming count would exceed MaxParts</t>
  </si>
  <si>
    <t>enforcement is shop-floor || RE-CHECK 2026-08-11: -&gt;Pass per-item per-location cap enforced in Lot_MoveToValidated + Lot_Create Received (regression).</t>
  </si>
  <si>
    <t>FDS-03-020  —  Lineside Inventory Cap</t>
  </si>
  <si>
    <t>Lineside inventory cap</t>
  </si>
  <si>
    <t>A Cell with a LinesideLimit LocationAttribute set</t>
  </si>
  <si>
    <t>On the shop floor, attempt a scan-in that would exceed the Cell's total-piece limit</t>
  </si>
  <si>
    <t>Scan-in is rejected when current lineside pieces across all items plus the incoming quantity would exceed LinesideLimit</t>
  </si>
  <si>
    <t>Does not exist || RE-CHECK 2026-08-11: -&gt;N/A premise retired per MPP: lineside protection is part-side MaxParts (see CC-050); LinesideLimit build cancelled.</t>
  </si>
  <si>
    <t>FDS-03-021  —  Tray-Divisibility Validation on Work Order</t>
  </si>
  <si>
    <t>Tray-divisibility on work order</t>
  </si>
  <si>
    <t>A finished good with a container config (PartsPerTray set)</t>
  </si>
  <si>
    <t>Create/edit a work order with a target quantity not evenly divisible by the tray quantity</t>
  </si>
  <si>
    <t>Non-divisible target is rejected with a specific error; at WO Close a non-divisible good count is blocked unless a supervisor overrides via AD elevation (reason logged)</t>
  </si>
  <si>
    <t>Remove altogther, the data model does not consume parts this way | [insp] needs live/witness: MANUAL. WO-level tray-divisibility validation (reject non-divisible target at WO Create/Edit; block non-divisible good count at WO Close unless AD override) is not built: no WorkOrder_Create proc exists and no 'divisible' check in SQL. WorkOrders are CONDITIONAL scope. R__Lots_Container_Complete.sql enforces a full-container check (TraysPerContainer*PartsPerTray) but that is container completion, not WO target divisibility. Needs scope/human judgment on whether the CONDITIONAL WO feature is in play.</t>
  </si>
  <si>
    <t>FDS-08-016  —  Defect Code Management</t>
  </si>
  <si>
    <t>FAT-CT-010</t>
  </si>
  <si>
    <t>Defect code CRUD</t>
  </si>
  <si>
    <t>Config Tool open at Quality &gt; Defect Codes</t>
  </si>
  <si>
    <t>Create a new defect code and edit an existing one</t>
  </si>
  <si>
    <t>Code is created and saved; edits persist; changes are audited (config log)</t>
  </si>
  <si>
    <t>FAT-CT-020</t>
  </si>
  <si>
    <t>Defect code fields</t>
  </si>
  <si>
    <t>A defect code open in the editor</t>
  </si>
  <si>
    <t>Set the code's Area and IsExcused flag</t>
  </si>
  <si>
    <t>Defect code carries Code, Description, Area association, and IsExcused; IsExcused feeds future OEE quality math</t>
  </si>
  <si>
    <t>FAT-CT-030</t>
  </si>
  <si>
    <t>Defect code seed load</t>
  </si>
  <si>
    <t>Freshly deployed database</t>
  </si>
  <si>
    <t>Verify the FRS Appendix E defect codes were seeded</t>
  </si>
  <si>
    <t>Defect codes loaded from Appendix E (153 rows), each associated with an area (Die Cast, Machine Shop, Trim Shop, Production Control, Quality Control, HSP) with IsExcused set per the appendix</t>
  </si>
  <si>
    <t>deploy-day check</t>
  </si>
  <si>
    <t>FAT-CT-040</t>
  </si>
  <si>
    <t>Defect code deprecation</t>
  </si>
  <si>
    <t>An active defect code</t>
  </si>
  <si>
    <t>Deprecate a defect code</t>
  </si>
  <si>
    <t>Code is soft-deleted (DeprecatedAt) and drops out of active lists; historical references are retained</t>
  </si>
  <si>
    <t>FDS-08-017  —  Area Filtering</t>
  </si>
  <si>
    <t>FAT-CT-050</t>
  </si>
  <si>
    <t>Area filtering — Die Cast</t>
  </si>
  <si>
    <t>A Die Cast production screen</t>
  </si>
  <si>
    <t>Open the defect/scrap reason picker</t>
  </si>
  <si>
    <t>Only Die Cast area defect codes are offered</t>
  </si>
  <si>
    <t>RE-CHECK 2026-08-11: -&gt;Pass defect-code dropdown scoped by OperationCategory; DefectCode.OperationCategoryId (5f87410a).</t>
  </si>
  <si>
    <t>FAT-CT-060</t>
  </si>
  <si>
    <t>Area filtering — cross-check</t>
  </si>
  <si>
    <t>A Machine Shop production screen</t>
  </si>
  <si>
    <t>Open the defect picker on a Machine Shop screen</t>
  </si>
  <si>
    <t>Only Machine Shop codes are shown; Die Cast-only codes are absent</t>
  </si>
  <si>
    <t>RE-CHECK 2026-08-11: -&gt;Pass machine-shop defect filter via OperationCategory (same series).</t>
  </si>
  <si>
    <t>FDS-09-006  —  Reason Code Seed Data</t>
  </si>
  <si>
    <t>FAT-CT-070</t>
  </si>
  <si>
    <t>Reason code seed load</t>
  </si>
  <si>
    <t>Verify the downtime reason codes were seeded</t>
  </si>
  <si>
    <t>353 downtime reason codes loaded from FRS Appendix D; each carries code, description, area, reason type, and IsExcused</t>
  </si>
  <si>
    <t>deploy-day check || RE-CHECK 2026-08-11: -&gt;Pass downtime reason-code seed 353/353 loaded + schema-correct; deploy-day COUNT check at cutover.</t>
  </si>
  <si>
    <t>FAT-CT-080</t>
  </si>
  <si>
    <t>Reason code fields</t>
  </si>
  <si>
    <t>A downtime reason code in the list</t>
  </si>
  <si>
    <t>Inspect a reason code's fields</t>
  </si>
  <si>
    <t>Code, description, area, reason type, and IsExcused are all present</t>
  </si>
  <si>
    <t>FDS-09-007  —  Reason Types</t>
  </si>
  <si>
    <t>FAT-CT-090</t>
  </si>
  <si>
    <t>Reason types seeded</t>
  </si>
  <si>
    <t>Review the seeded downtime reason types</t>
  </si>
  <si>
    <t>Six reason types present: Equipment, Miscellaneous, Mold, Quality, Setup, Unscheduled</t>
  </si>
  <si>
    <t>FAT-CT-100</t>
  </si>
  <si>
    <t>Reason type selection</t>
  </si>
  <si>
    <t>Downtime entry screen at a machine</t>
  </si>
  <si>
    <t>Open the reason-type selector then pick a code</t>
  </si>
  <si>
    <t>Operator selects the reason type first (from the six seeded types), then the specific code within that type</t>
  </si>
  <si>
    <t>FDS-09-008  —  Shift Schedules</t>
  </si>
  <si>
    <t>FAT-SS-010</t>
  </si>
  <si>
    <t>Shift schedule config</t>
  </si>
  <si>
    <t>Config Tool open at Shift Schedules (/shifts)</t>
  </si>
  <si>
    <t>Create a new shift schedule (name, start, end, days-of-week, effective date)</t>
  </si>
  <si>
    <t>Schedule saved with Name, StartTime, EndTime, DaysOfWeekBitmask (Mon=1..Sun=64), and EffectiveFrom; creation is audit-logged</t>
  </si>
  <si>
    <t>FAT-SS-020</t>
  </si>
  <si>
    <t>Common shift patterns</t>
  </si>
  <si>
    <t>Shift Schedules screen</t>
  </si>
  <si>
    <t>Configure First Shift (6:00am–2:00pm M–F) and Second Shift (2:00pm–10:00pm M–F)</t>
  </si>
  <si>
    <t>Both schedules persist with correct times and a Mon–Fri days bitmask</t>
  </si>
  <si>
    <t>FAT-SS-030</t>
  </si>
  <si>
    <t>Overnight shift</t>
  </si>
  <si>
    <t>Create a schedule whose end time is earlier than its start time</t>
  </si>
  <si>
    <t>Overnight shift (EndTime &lt; StartTime) is accepted as valid</t>
  </si>
  <si>
    <t>FAT-SS-040</t>
  </si>
  <si>
    <t>Unique schedule name</t>
  </si>
  <si>
    <t>An existing shift schedule</t>
  </si>
  <si>
    <t>Attempt to create another schedule with the same name</t>
  </si>
  <si>
    <t>System rejects the duplicate with a clear message</t>
  </si>
  <si>
    <t>FAT-SS-050</t>
  </si>
  <si>
    <t>Shift schedule soft-delete</t>
  </si>
  <si>
    <t>An active shift schedule</t>
  </si>
  <si>
    <t>Deprecate the schedule</t>
  </si>
  <si>
    <t>Schedule is soft-deleted (DeprecatedAt), not overwritten; EffectiveFrom preserves the schedule across time</t>
  </si>
  <si>
    <t>FAT-SS-060</t>
  </si>
  <si>
    <t>Edit shift schedule</t>
  </si>
  <si>
    <t>Change its start/end time and save</t>
  </si>
  <si>
    <t>Edit persists and is audit-logged</t>
  </si>
  <si>
    <t>FDS-10-001  —  MIP Touch Points</t>
  </si>
  <si>
    <t>FAT-PLC-010</t>
  </si>
  <si>
    <t>Serialized MIP touch points</t>
  </si>
  <si>
    <t>MPP_Sim running; a SerializedMipStation UDT instance exists with a /plc-devices mapping to its terminal</t>
  </si>
  <si>
    <t>Inspect the serialized MIP UDT instance members against the 5GO_AP4 Touchpoint Agreement</t>
  </si>
  <si>
    <t>Instance exposes DataReady, TransInProc, PartSN, PartValid, HardwareInterlockEnforced, WatchDog, ContainerCount, PartType and the alarm member per FDS-10-001</t>
  </si>
  <si>
    <t>Simulator-validated against MPP_Sim; live device tag-map (OpcServer/Device/BasePath) applied at hardware commissioning</t>
  </si>
  <si>
    <t>FAT-PLC-020</t>
  </si>
  <si>
    <t>A TerminalPlcDevice mapping row exists for the station</t>
  </si>
  <si>
    <t>Open /plc-devices and confirm the serialized station terminal is bound to its `[MPP]PlcDevices/&lt;device&gt;` instance path</t>
  </si>
  <si>
    <t>Mapping resolves (PlcWatcher.dispatch finds the terminal + device type); edges on the instance route to the SerializedMip watcher</t>
  </si>
  <si>
    <t>RE-CHECK 2026-08-11: HELD - SerializedMipWatcher + gateway trigger built; blocked on committed TerminalPlcDevice seed (5G0) + recorded sim acceptance.</t>
  </si>
  <si>
    <t>FDS-10-002  —  MIP Transaction Flow</t>
  </si>
  <si>
    <t>FAT-PLC-030</t>
  </si>
  <si>
    <t>Serialized MIP transaction flow</t>
  </si>
  <si>
    <t>A LOT is queued at the assembly-out terminal; Sim Panel /dev/sim/plc open on the device</t>
  </si>
  <si>
    <t>Seed a valid PartSN (&gt;=6) with HardwareInterlockEnforced=True and fire DataReady</t>
  </si>
  <si>
    <t>MES sets TransInProc, reads PartSN + interlock, mints the serialized part against the FIFO front LOT, writes PartValid=1, then resets TransInProc + DataReady; a PlcHandshake InterfaceLog row is written</t>
  </si>
  <si>
    <t>Simulator-validated via /dev/sim/plc against the live watcher || RE-CHECK 2026-08-11: HELD - serialized MIP flow simulator-validated; needs seed + recorded sim acceptance (see PLC-020).</t>
  </si>
  <si>
    <t>FAT-PLC-040</t>
  </si>
  <si>
    <t>Serialized MIP device selected in the Sim Panel; a LOT queued at the terminal</t>
  </si>
  <si>
    <t>Fire DataReady with HardwareInterlockEnforced=False and a blank PartSN</t>
  </si>
  <si>
    <t>Validation is skipped (NoRead path, FDS-06-012); SerializedPart_Mint auto-generates a serial and the part is accepted with PartValid=1</t>
  </si>
  <si>
    <t>Simulator-validated | [insp] needs live/witness: LIVE. SerializedMipWatcher.handleEdge (SerializedMipWatcher/code.py:20-60) reads PartSN+HardwareInterlockEnforced, passes serialArg=None on blank PartSN so SerializedPart_Mint auto-generates (R__Lots_SerializedPart_Mint.sql:75-103), and writes PartValid=mint status. Code exists but the NoRead/PartValid=1 outcome needs a fired DataReady edge against a live watcher + a seeded TerminalPlcDevice mapping row (none seeded in repo) + a queued LOT.</t>
  </si>
  <si>
    <t>FDS-10-003  —  MES Alarms</t>
  </si>
  <si>
    <t>FAT-PLC-050</t>
  </si>
  <si>
    <t>MIP alarms</t>
  </si>
  <si>
    <t>A serialized part with a given PartSN already exists</t>
  </si>
  <si>
    <t>Fire DataReady re-using that duplicate PartSN</t>
  </si>
  <si>
    <t>Mint is rejected — PartValid=0, alarm text written (HMI-gated), and a failed PlcHandshake row is logged to Audit.InterfaceLog</t>
  </si>
  <si>
    <t>Duplicate dedup is enforced in SerializedPart_Mint; simulator-validated | [insp] needs live/witness: LIVE. Duplicate-serial reject path exists: SerializedPart_Mint rejects a pre-existing SerialNumber (R__Lots_SerializedPart_Mint.sql:62-68); _finish writes PartValid=ok(False) + logs a failed PlcHandshake to InterfaceLog + alarm (SerializedMipWatcher/code.py:68-80, PlcWatcher.logInterface). Requires firing a real edge with a duplicate PartSN against a live watcher.</t>
  </si>
  <si>
    <t>FAT-PLC-060</t>
  </si>
  <si>
    <t>Serialized MIP device in the Sim Panel</t>
  </si>
  <si>
    <t>Attempt the Invalid-PartSN and Low-Inventory alarm cases</t>
  </si>
  <si>
    <t>Alarm message surfaces to the operator/HMI for each</t>
  </si>
  <si>
    <t>Only the duplicate/rejection alarm is wired today; the invalid-PartSN min-length gate and the low-inventory-threshold alarm are proc-level commissioning fill-ins (flagged in the runbook §E) | [insp] needs live/witness: LIVE/HW. Alarm text write is HMI-display-gated (PlcWatcher.writeDisplay / MESAlarmText). Surfacing invalid-PartSN and low-inventory alarms to the operator/HMI requires a live gateway with good-quality tags and fired edges.</t>
  </si>
  <si>
    <t>FDS-10-004  —  Disposition-Based Lines</t>
  </si>
  <si>
    <t>FAT-PLC-070</t>
  </si>
  <si>
    <t>Non-serialized disposition line</t>
  </si>
  <si>
    <t>A NonSerializedMipStation instance mapped to a 5A2-style terminal; Sim Panel open</t>
  </si>
  <si>
    <t>Fire DataReady on the non-serialized device</t>
  </si>
  <si>
    <t>Watcher sets TransInProc, acknowledges the handshake, logs it, and resets TransInProc + DataReady</t>
  </si>
  <si>
    <t>Handshake choreography simulator-validated; the FG + tray-piece-count line config (_resolveLineConfig) is a commissioning fill-in — until supplied the completion mint is deliberately skipped (not faked), per runbook §E | [insp] needs live/witness: LIVE. NonSerializedMipWatcher.handleEdge sets TransInProc, logs, and resets member+TransInProc on the no-line-config path (NonSerializedMipWatcher/code.py:22-40) — exactly the Expected ack/log/reset. Verifying the handshake requires firing DataReady against a live watcher with a seeded mapping row (none in repo).</t>
  </si>
  <si>
    <t>FAT-PLC-080</t>
  </si>
  <si>
    <t>A TrayInspectionStation device selected in the Sim Panel</t>
  </si>
  <si>
    <t>Fire InspectionComplete with a mix of PartDisposition slot flags set</t>
  </si>
  <si>
    <t>The 18 PartDisposition slots are read by the watcher</t>
  </si>
  <si>
    <t>Disposition slots are read; the passed-parts-count / open-container tray-close bookkeeping is line-specific commissioning (runbook §E) | [insp] needs live/witness: LIVE/HW. TrayInspectionWatcher.handleEdge only handles TrayLocked/InspectionComplete and reads VisionPartNumber (TrayInspectionWatcher/code.py:23-27,65-69); it does not read the 18 PartDisposition slots today (commissioning gap). Confirming slot reads requires a live TrayInspectionStation device and fired InspectionComplete edge.</t>
  </si>
  <si>
    <t>FDS-10-005  —  Vision / Operator Conflict — Line-Stop Semantics</t>
  </si>
  <si>
    <t>FAT-PLC-090</t>
  </si>
  <si>
    <t>Vision line-stop</t>
  </si>
  <si>
    <t>A LOT queued at the tray-inspection terminal whose Item.PlcId is set; Sim Panel open</t>
  </si>
  <si>
    <t>Fire TrayLocked on the tray-inspection device</t>
  </si>
  <si>
    <t>The front FIFO LOT's Item.PlcId is written to the instance PartNumber member (the PLC vision recipe is selected before inspection)</t>
  </si>
  <si>
    <t>Simulator-validated | [insp] needs live/witness: LIVE. TrayLocked handler resolves the assembly-out FIFO front LOT's Item.PlcId and writes it to the instance PartNumber member (TrayInspectionWatcher/code.py:41-62, _expectedPlcId via Item.getPlcId). Code path exists but needs a fired TrayLocked edge + a queued LOT whose Item.PlcId is set + a seeded mapping row.</t>
  </si>
  <si>
    <t>FAT-PLC-100</t>
  </si>
  <si>
    <t>TrayLocked already fired (recipe selected) for the front LOT</t>
  </si>
  <si>
    <t>Fire InspectionComplete with a VisionPartNumber that does NOT match the expected recipe</t>
  </si>
  <si>
    <t>LINE STOP — OkToContinue stays false (tray left locked, no release), a PlcLineStop event is written to Audit.InterfaceLog, and the HMI alarm is raised (gated); the LOT's LotStatusCode is left untouched (no Hold)</t>
  </si>
  <si>
    <t>Simulator-validated; line-stop signal to the PLC is asserted by holding OkToContinue false. Optional formal Quality.Hold on mismatch is a deliberate policy hook, not auto-placed | [insp] needs live/witness: LIVE. Mismatch line-stop is coded: no OkToContinue write, logInterface with logEventTypeCode='PlcLineStop' to InterfaceLog, HMI alarm gated, LOT status untouched (TrayInspectionWatcher/code.py:78-87; PlcWatcher.logInterface PlcLineStop). Requires firing InspectionComplete with a mismatched VisionPartNumber against a live watcher.</t>
  </si>
  <si>
    <t>FAT-PLC-110</t>
  </si>
  <si>
    <t>TrayLocked already fired for the front LOT</t>
  </si>
  <si>
    <t>Fire InspectionComplete with a VisionPartNumber matching the expected recipe</t>
  </si>
  <si>
    <t>OkToContinue=1 (tray released) and the ByVision tray close runs through Assembly_CompleteTray (mints the FG LOT + consumes BOM)</t>
  </si>
  <si>
    <t>Simulator-validated | [insp] needs live/witness: LIVE. Match path writes OkToContinue=True then runs Assembly.plcCompleteTray(...,'ByVision') -&gt; Assembly_CompleteTray (mints FG LOT + consumes BOM) (TrayInspectionWatcher/code.py:89-107; Assembly/code.py:152-176). Code exists; the release + ByVision close outcome needs a fired matching InspectionComplete edge + runtime data.</t>
  </si>
  <si>
    <t>FDS-10-009  —  10-Consecutive-Fail Escalation</t>
  </si>
  <si>
    <t>Consecutive-fail escalation</t>
  </si>
  <si>
    <t>A tray-inspection cell</t>
  </si>
  <si>
    <t>Drive 10 consecutive vision-mismatch failures at the cell and confirm the escalation behaviour</t>
  </si>
  <si>
    <t>On the 10th consecutive fail the line leader is auto-escalated (LeaderEscalationFlagged), a supervisor-dashboard badge fires, supervisor AD elevation (FDS-04-007) is required to resume, and the counter resets on the next pass</t>
  </si>
  <si>
    <t>NOT YET WIRED — the consecutive-fail counter, LeaderEscalationFlagged event, supervisor-resume gate, and the LineStopConsecutiveFailThreshold LocationAttribute are a commissioning fill-in. Today each mismatch records an independent line-stop with no cross-cycle counter | [insp] The 10-consecutive-fail escalation state machine is not implemented. No LeaderEscalationFlagged flag, consecutive-fail counter, supervisor-badge, or resume-elevation logic exists in sql/ or ignition/; TrayInspectionWatcher only does a per-event line-stop. notes/2026-07-09_fds-gap-audit.md:32-33 explicitly states the escalation state machine is unwritten design work. || RE-CHECK 2026-08-11: HELD/UNBUILT - consecutive-fail escalation state machine not written (FDS-10-010); confirm MVP vs commissioning.</t>
  </si>
  <si>
    <t>FDS-10-010  —  Failure-Type Branching</t>
  </si>
  <si>
    <t>Failure-type branching</t>
  </si>
  <si>
    <t>Exercise each failure type and confirm the branch</t>
  </si>
  <si>
    <t>Wrong-part (vision != operator) flags the leader immediately; wrong-orientation stops but does not escalate; PartDisposition fail counts toward the 10-fail threshold; barcode mis-scan does not stop the line</t>
  </si>
  <si>
    <t>NOT YET WIRED — failure-type branching is not implemented; the watcher records a uniform vision-mismatch line-stop. Commissioning fill-in | [insp] Failure-type branching (wrong-part immediate flag vs wrong-orientation stop-no-escalate vs PartDisposition-counts vs barcode-mis-scan-no-stop) is not implemented. No branching matrix or orientation/disposition handling exists in the watchers or SQL; gap audit (notes/2026-07-09_fds-gap-audit.md:32-33,87) confirms FDS-10-010 branching is not written. || RE-CHECK 2026-08-11: HELD/UNBUILT - vision failure-type branching not implemented; confirm scope.</t>
  </si>
  <si>
    <t>FDS-10-011  —  Hold Release Path      (FRS 3.16.10)</t>
  </si>
  <si>
    <t>FAT-PLC-140</t>
  </si>
  <si>
    <t>Hold release path</t>
  </si>
  <si>
    <t>A LOT is on Hold</t>
  </si>
  <si>
    <t>As a Quality-role user, AD-elevate (FDS-04-007) and release the hold via the Quality hold screen</t>
  </si>
  <si>
    <t>The HoldEvent row closes (ReleasedAt set) and the LOT's LotStatusCode returns to Good (Hold_Release)</t>
  </si>
  <si>
    <t>Witnessable directly in the Quality hold UI | [insp] Quality.Hold_Release (R__Quality_Hold_Release.sql:69-80) sets ReleasedByUserId/ReleasedAt/ReleaseRemarks on the open HoldEvent and restores the LOT to its prior status (LotStatusHistory OldStatusId, default Good=1) — exactly the Expected HoldEvent-closes + LotStatusCode-returns-to-Good behavior. (AD elevation is the UI concern per FDS-04-007.)</t>
  </si>
  <si>
    <t>FAT-PLC-150</t>
  </si>
  <si>
    <t>A LOT is on Hold; logged in as an operator without elevation</t>
  </si>
  <si>
    <t>Attempt to release the hold directly</t>
  </si>
  <si>
    <t>Release is blocked — operators cannot release holds; the action is elevation-gated</t>
  </si>
  <si>
    <t>[insp] needs live/witness: LIVE/MANUAL. Hold_Release takes @AppUserId as attribution only and does not itself enforce a role/elevation gate; the operator-blocked behavior is enforced in the UI (HoldManagement view + ElevationModal component exist). Confirming operators are blocked requires a live run of the hold screen without elevation.</t>
  </si>
  <si>
    <t>FDS-10-012  —  Controlled Run Tag (CRT) Workflow</t>
  </si>
  <si>
    <t>FAT-PLC-160</t>
  </si>
  <si>
    <t>CRT workflow</t>
  </si>
  <si>
    <t>Release the hold as Quality with a Controlled Run Tag disposition</t>
  </si>
  <si>
    <t>The hold closes, LotStatusCode returns to Good, and Lot.CrtActive is set to 1; the next downstream operation screen forces the 200% double-capture</t>
  </si>
  <si>
    <t>CRT activate/clear procs built; the 200%-inspect double-capture is view-enforced off getRequiredInspections (not proc-gated) in v1 | [insp] needs live/witness: LIVE. Building blocks exist (Lots.Lot_SetCrt sets CrtActive=1, R__Lots_Lot_SetCrt.sql:109-113; Quality.Crt_GetRequiredInspections surfaces the 200% prompt). But release-with-CRT-disposition is UI orchestration (Hold_Release does not set CRT) and the forced downstream 200% double-capture is a runtime behavior needing a live run.</t>
  </si>
  <si>
    <t>FAT-PLC-170</t>
  </si>
  <si>
    <t>A CRT-active LOT (CrtActive=1) reaches its next operation</t>
  </si>
  <si>
    <t>Complete the forced 200% inspection (or skip it)</t>
  </si>
  <si>
    <t>On completion CrtActive clears (Lot_ClearCrt, supervisor-elevated) with a CrtCompleted result; if the CRT run passed through un-inspected the LOT is flagged for re-run with a MissedCrtInspect hold</t>
  </si>
  <si>
    <t>[insp] needs live/witness: LIVE. Lots.Lot_ClearCrt clears CrtActive supervisor-elevated (R__Lots_Lot_ClearCrt.sql). Note: the missed-inspection path writes only a MissedCrtInspect AUDIT row, NOT a hold (R__Quality_Crt_FlagMissedInspection.sql:6-11 'NO table mutation... surfaces, does not gate') — a partial mismatch with 'MissedCrtInspect hold'. End-to-end CRT completion/skip flow needs a live run.</t>
  </si>
  <si>
    <t>FDS-10-006  —  OmniServer Scale Reads</t>
  </si>
  <si>
    <t>FAT-PLC-180</t>
  </si>
  <si>
    <t>Scale reads</t>
  </si>
  <si>
    <t>A ScaleStation instance mapped to an assembly terminal; Sim Panel open</t>
  </si>
  <si>
    <t>Seed a net weight with MetFlag=False and fire NET_DataReady</t>
  </si>
  <si>
    <t>The watcher reads NET_NetWeightValue / UOM / TargetWeightMetFlag, acknowledges NET_DataReady, and logs the weigh to Audit.InterfaceLog; no container close occurs</t>
  </si>
  <si>
    <t>Simulator-validated; raw-weight persistence (a ProductionEvent/QualitySample) is a commissioning fill-in — weight is captured in the InterfaceLog payload only | [insp] needs live/witness: LIVE. ScaleWatcher.handleEdge reads NET_NetWeightValue/UOM/TargetWeightMetFlag, acks NET_DataReady, logs the weigh to InterfaceLog, and does NOT close a container when MetFlag is false (ScaleWatcher/code.py:28-49). Code matches Expected but needs a fired NET_DataReady edge against a live ScaleStation + seeded mapping row.</t>
  </si>
  <si>
    <t>FAT-PLC-190</t>
  </si>
  <si>
    <t>ScaleStation device selected in the Sim Panel</t>
  </si>
  <si>
    <t>Fire NET_DataReady with MetFlag=True</t>
  </si>
  <si>
    <t>The scale is coupled to container completion — a ByWeight tray close runs through Assembly_CompleteTray at the configured ByWeight piece count; the container auto-completes (AIM + label) when full</t>
  </si>
  <si>
    <t>Simulator-validated | [insp] needs live/witness: LIVE. MetFlag=True path calls _completeCoupledContainer -&gt; Assembly.plcCompleteTray(terminal,'ByWeight') -&gt; Assembly_CompleteTray at the configured ByWeight PartsPerTray, auto-completing the container on full (ScaleWatcher/code.py:47-70; Assembly/code.py:152-176). Requires firing NET_DataReady with MetFlag set against a live watcher.</t>
  </si>
  <si>
    <t>FDS-10-007  —  Barcode Scanners</t>
  </si>
  <si>
    <t>FAT-PLC-200</t>
  </si>
  <si>
    <t>Barcode scan validation</t>
  </si>
  <si>
    <t>A plant-floor screen with an active LTT input field</t>
  </si>
  <si>
    <t>Scan a valid LTT barcode with the terminal's keyboard-wedge scanner</t>
  </si>
  <si>
    <t>Scan data is injected as keystrokes into the active field (no custom driver); on submit the server validates the LTT format (9-digit + checksum, ufn_IsValidExternalLtt) and accepts it</t>
  </si>
  <si>
    <t>Witnessable directly; keyboard-wedge behaviour is client-side plus server-side format validation | [insp] needs live/witness: HW. Server-side LTT format validation exists (Lots.ufn_IsValidExternalLtt, 9-digit; checksum is a documented stub — R__Lots_ufn_IsValidExternalLtt.sql:12-24). But keyboard-wedge keystroke injection and accepting a physically scanned barcode require a physical scanner and a live screen.</t>
  </si>
  <si>
    <t>FAT-PLC-210</t>
  </si>
  <si>
    <t>Scan a malformed / wrong-format barcode</t>
  </si>
  <si>
    <t>Server-side format validation rejects the scan with an operator toast; no LOT action is taken</t>
  </si>
  <si>
    <t>[insp] needs live/witness: LIVE/HW. ufn_IsValidExternalLtt rejects non-9-digit input (R__Lots_ufn_IsValidExternalLtt.sql:19), but witnessing the operator toast + no-LOT-action on a malformed scan requires a physical scanner and a live plant-floor screen.</t>
  </si>
  <si>
    <t>FDS-10-013  —  Confirmation Method LocationAttribute</t>
  </si>
  <si>
    <t>FAT-PLC-220</t>
  </si>
  <si>
    <t>Confirmation method</t>
  </si>
  <si>
    <t>A PLC-integrated assembly Cell</t>
  </si>
  <si>
    <t>Inspect the Cell's ConfirmationMethod LocationAttribute</t>
  </si>
  <si>
    <t>The attribute is seeded and readable with an allowed value (Vision / Barcode / Both) declaring which source(s) confirm part identity</t>
  </si>
  <si>
    <t>[insp] The ConfirmationMethod LocationAttribute is not seeded. A repo-wide search for 'ConfirmationMethod' finds zero matches in sql/ (no LocationAttributeDefinition, no attribute value); it appears only in FDS/docs/plc-mapping.csv. Contrast the sibling RequiresCompletionConfirm, which IS seeded (0020 migration + 011 seed). Expected 'seeded and readable with Vision/Barcode/Both' is contradicted. || RE-CHECK 2026-08-11: HELD/UNBUILT - ConfirmationMethod LocationAttribute not seeded (zero in sql/); dual-source gate absent.</t>
  </si>
  <si>
    <t>FAT-PLC-230</t>
  </si>
  <si>
    <t>A Cell whose ConfirmationMethod = Both</t>
  </si>
  <si>
    <t>Present a vision read and a barcode read that disagree on part identity</t>
  </si>
  <si>
    <t>The production event does not record until both sources agree; the mismatch counts toward the line-stop threshold, and a supervisor-elevated manual override logs HardwareInterlockBypassed on the ContainerSerial</t>
  </si>
  <si>
    <t>Attribute is seeded and read by the proc/UI; the full Both-reconcile enforcement + override path mirrors the FDS-10-005 line-stop and is partly a commissioning fill-in | [insp] No dual-source (Vision+Barcode) agreement gate exists, and the ConfirmationMethod='Both' attribute it depends on is not seeded (zero 'ConfirmationMethod' hits in sql/). No proc withholds a production event until two sources agree. (HardwareInterlockBypassed exists on ContainerSerial, but the confirmation-agreement feature is unbuilt.) || RE-CHECK 2026-08-11: HELD/UNBUILT - dual-source (Vision+Barcode) agreement gate not implemented.</t>
  </si>
  <si>
    <t>FDS-04-001  —  Two Identity Classes</t>
  </si>
  <si>
    <t>FAT-USR-010</t>
  </si>
  <si>
    <t>Two identity classes</t>
  </si>
  <si>
    <t>Config Tool AppUser admin</t>
  </si>
  <si>
    <t>Create an operator AppUser and an interactive-user AppUser</t>
  </si>
  <si>
    <t>Operator saved with AdAccount NULL, Initials NOT NULL, no Ignition role; interactive user saved with AdAccount and a role</t>
  </si>
  <si>
    <t>FAT-USR-020</t>
  </si>
  <si>
    <t>Event attribution by AppUserId</t>
  </si>
  <si>
    <t>Any shop-floor event recorded</t>
  </si>
  <si>
    <t>Inspect the stored attribution on the event</t>
  </si>
  <si>
    <t>Event stamps a resolved AppUserId (never free-text initials or names)</t>
  </si>
  <si>
    <t>RE-CHECK 2026-08-11: -&gt;Pass events attribute to signed-in operator AppUserId, not Dev User (e47d9f2d).</t>
  </si>
  <si>
    <t>FDS-04-002  —  Operator Initials Capture</t>
  </si>
  <si>
    <t>FAT-USR-030</t>
  </si>
  <si>
    <t>Operator initials capture</t>
  </si>
  <si>
    <t>A shop-floor terminal at idle</t>
  </si>
  <si>
    <t>Approach the terminal and perform a first action</t>
  </si>
  <si>
    <t>UI prompts for initials; MES resolves the AppUser and establishes an operator presence context; no password is verified</t>
  </si>
  <si>
    <t>FAT-USR-040</t>
  </si>
  <si>
    <t>Presence context handoff</t>
  </si>
  <si>
    <t>An operator presence context established</t>
  </si>
  <si>
    <t>Enter a different operator's initials</t>
  </si>
  <si>
    <t>New presence context replaces the prior one for subsequent events</t>
  </si>
  <si>
    <t>FDS-04-003  —  Presence Policy: Dedicated vs Shared Views</t>
  </si>
  <si>
    <t>FAT-USR-050</t>
  </si>
  <si>
    <t>Dedicated presence policy</t>
  </si>
  <si>
    <t>A terminal running a dedicated-flavor view</t>
  </si>
  <si>
    <t>Leave idle then return</t>
  </si>
  <si>
    <t>policy = confirm; initials persist across idle gaps subject only to the 30-minute re-confirmation</t>
  </si>
  <si>
    <t>[insp] needs live/witness: LIVE. Confirm-policy mechanism is present (session.custom.presence.policy defaults "confirm" in MPP session-props/props.json:18-20; watcher never clears session.custom.user, so initials persist across idle until re-confirm), but 'leave idle then return' persistence + re-confirm behavior must be witnessed at runtime.</t>
  </si>
  <si>
    <t>FAT-USR-060</t>
  </si>
  <si>
    <t>Shared presence policy</t>
  </si>
  <si>
    <t>A terminal running a shared-flavor view (e.g. Die Cast cabin)</t>
  </si>
  <si>
    <t>Return after idle or change the cell context</t>
  </si>
  <si>
    <t>policy = strict; initials re-requested on first action after idle and re-prompted when the operator changes cell context</t>
  </si>
  <si>
    <t>RE-CHECK 2026-08-11: -&gt;Pass shared presence re-confirm policy (5ac5a4b1).</t>
  </si>
  <si>
    <t>FDS-04-004  —  Interactive User Authentication</t>
  </si>
  <si>
    <t>Interactive user AD auth</t>
  </si>
  <si>
    <t>An interactive user (Quality/Supervisor/Engineering/Admin)</t>
  </si>
  <si>
    <t>Log into the Config Tool with AD credentials</t>
  </si>
  <si>
    <t>Authenticates via Ignition's AD user source; operators do not exist in AD</t>
  </si>
  <si>
    <t>RE-CHECK 2026-08-11: -&gt;N/A interactive-user AD auth handled by Ignition built-in project authentication (platform IdP), not MES code.</t>
  </si>
  <si>
    <t>FDS-04-005  —  Pre-Populated Initials Field</t>
  </si>
  <si>
    <t>FAT-USR-080</t>
  </si>
  <si>
    <t>Pre-populated initials field</t>
  </si>
  <si>
    <t>A mutation screen under an operator presence context</t>
  </si>
  <si>
    <t>Open a shop-floor mutation form</t>
  </si>
  <si>
    <t>Initials field is pre-populated from the presence context; operator may override before submit</t>
  </si>
  <si>
    <t>not needed | [insp] needs live/witness: LIVE. InitialsField component implements pre-populate+override (BlueRidge/Components/PlantFloor/InitialsField/view.json onStartup pre-fills from session.custom.user under confirm policy; text-field is bidirectional/editable), BUT it is NOT embedded in any current shop-floor mutation view (grep 'PlantFloor/InitialsField' hits only old design docs). Cannot confirm a mutation form actually shows the pre-populated field; current attribution uses session.custom.user presence instead.</t>
  </si>
  <si>
    <t>FAT-USR-090</t>
  </si>
  <si>
    <t>Unknown/deprecated initials blocked</t>
  </si>
  <si>
    <t>A shop-floor mutation form</t>
  </si>
  <si>
    <t>Submit with unknown or deprecated initials</t>
  </si>
  <si>
    <t>Submission blocked with a clear message via AppUser_GetByInitials; no auto-creation of users from unknown initials</t>
  </si>
  <si>
    <t>2026-08-07</t>
  </si>
  <si>
    <t>[fixed 2026-08-07] Deprecated initials now blocked at BOTH presence surfaces. Added active-only resolver Location.AppUser_GetActiveByInitials (WHERE DeprecatedAt IS NULL); resolveForPresence and the InitialsEntry shift-start sign-in now route through it (sign-in shows 'Operator XX is deactivated. See a supervisor.'; per-mutation field -&gt; valid=False). History proc AppUser_GetByInitials left unchanged so attribution-history reads still resolve retired operators (test 040 green). Verified: SQL test 045_AppUser_GetActiveByInitials (active-&gt;1, unknown-&gt;0, deprecated-&gt;0) + code review, commit 6c04952. Spec: docs/superpowers/specs/2026-08-07-deprecated-initials-presence-design.md. Pending live-terminal witness at FAT.</t>
  </si>
  <si>
    <t>FDS-04-006  —  30-Minute Presence Re-Confirmation</t>
  </si>
  <si>
    <t>FAT-USR-100</t>
  </si>
  <si>
    <t>30-minute re-confirmation</t>
  </si>
  <si>
    <t>A terminal idle longer than 30 minutes</t>
  </si>
  <si>
    <t>Interact with the terminal</t>
  </si>
  <si>
    <t>Re-confirmation overlay 'Operate as [XY]?' with [Yes] / [No — change]; Yes continues the context, No opens initials entry and clears the prior context</t>
  </si>
  <si>
    <t>TBD | [insp] IdleReconfirmModal/view.json:124 prompt 'Operate as {displayName} ({initials})?' with buttons 'Yes, continue' (sends action=continue) and 'No - change operator' (clears session.custom.user+appUserId then opens InitialsEntry popup, lines 176/202). Wired open by AppHeader idle watcher (AppHeader/view.json:49). Overlay content + Yes/No behavior match Expected.</t>
  </si>
  <si>
    <t>FAT-USR-110</t>
  </si>
  <si>
    <t>Configurable timeout</t>
  </si>
  <si>
    <t>Config Tool presence-timeout setting</t>
  </si>
  <si>
    <t>Change the re-confirmation interval</t>
  </si>
  <si>
    <t>The 30-minute value is a Configuration Tool setting (not hard-coded) and takes effect</t>
  </si>
  <si>
    <t>TBD | [insp] needs live/witness: LIVE. A configurable timeout path exists: Location.SessionPolicy.OperatorPresenceTimeoutSeconds (0049_session_policy.sql, default 180) loaded into session.custom.policy and consumed by AppHeader idle watcher via BlueRidge.Common.Session.activeTimeoutSeconds; editable via SessionPolicy_Update. BUT the older PresenceIdleWatcher/view.json hardcodes &gt;=30 min (now(30000), value&gt;=30). Whether changing the Config Tool value 'takes effect' for the reconfirm needs a witnessed run; conflicting hardcoded watcher noted.</t>
  </si>
  <si>
    <t>FDS-04-007  —  Elevated Actions Require Active Directory Authentication</t>
  </si>
  <si>
    <t>FAT-USR-120</t>
  </si>
  <si>
    <t>Per-action AD elevation</t>
  </si>
  <si>
    <t>A shop-floor terminal with operator presence</t>
  </si>
  <si>
    <t>Trigger an elevated action (e.g. place hold / scrap)</t>
  </si>
  <si>
    <t>Elevation prompt accepts AD username+password; on success the action is stamped with the authenticating user's AppUserId, not the operator presence context</t>
  </si>
  <si>
    <t>RE-CHECK 2026-08-11: -&gt;Pass per-action AD elevation / Supervisor Access (5ac5a4b1, aa2c5ded, 64e2268c).</t>
  </si>
  <si>
    <t>FAT-USR-140</t>
  </si>
  <si>
    <t>Elevation cancel</t>
  </si>
  <si>
    <t>Elevation prompt open</t>
  </si>
  <si>
    <t>Cancel the prompt</t>
  </si>
  <si>
    <t>Action does not execute; UI returns to the prior state</t>
  </si>
  <si>
    <t>TBD | [insp] ElevationModal/view.json CancelButton sends payload {success:False, cancelled:True} and closePopup (lines 287-288). AppHeader elevationResult handler dispatches the pending action only when p.get('success') and then clears pendingElevatedAction (view.json:268) -&gt; on cancel the action does not execute and the popup closes (UI returns to prior state).</t>
  </si>
  <si>
    <t>FDS-04-008  —  Ignition Role Mapping</t>
  </si>
  <si>
    <t>Ignition role mapping</t>
  </si>
  <si>
    <t>AD groups mapped to Ignition roles</t>
  </si>
  <si>
    <t>Sign in as each interactive role</t>
  </si>
  <si>
    <t>Quality / Supervisor / Engineering / Admin capabilities resolve per their AD group; Operator is the absence of interactive authentication</t>
  </si>
  <si>
    <t>?????? | [insp] needs live/witness: LIVE. Role-mapping plumbing exists (AppUser.authenticateAd -&gt; AppUser_AuthenticateAd, AppUser.getRoles -&gt; AppUser_GetRoles, IgnitionRole column; two identity classes per FDS-04-001). BUT AD is currently stubbed to the gateway internal user source (_DEV_USER_SOURCE='MPP' DEPLOYMENT banner in AppUser/code.py:182-228) and per-role AD sign-in / group-&gt;role resolution must be witnessed against real AD.</t>
  </si>
  <si>
    <t>FDS-04-009  —  Screen-Level Security</t>
  </si>
  <si>
    <t>FAT-USR-160</t>
  </si>
  <si>
    <t>Screen-level security</t>
  </si>
  <si>
    <t>Shop-floor and Config Tool screens</t>
  </si>
  <si>
    <t>Access each without interactive authentication</t>
  </si>
  <si>
    <t>Shop-floor screens open on operator presence alone and expose no master-data functions; Config Tool / Supervisor / Engineering screens require AD auth on page entry</t>
  </si>
  <si>
    <t>TBD || RE-CHECK 2026-08-11: -&gt;N/A screen-level security handled by Ignition built-in project auth/security levels (platform), not MES code.</t>
  </si>
  <si>
    <t>FAT-USR-170</t>
  </si>
  <si>
    <t>Elevated controls visible but gated</t>
  </si>
  <si>
    <t>A shop-floor screen with elevated action buttons</t>
  </si>
  <si>
    <t>View and activate an elevated control as an operator</t>
  </si>
  <si>
    <t>Control is visible but triggers the FDS-04-007 AD prompt on activation; an unauthorised user cancels out</t>
  </si>
  <si>
    <t>RE-CHECK 2026-08-11: -&gt;Pass elevated controls visible but gated behind elevation (64e2268c).</t>
  </si>
  <si>
    <t>FDS-04-010  —  Operator AppUser Lifecycle</t>
  </si>
  <si>
    <t>FAT-USR-180</t>
  </si>
  <si>
    <t>Operator AppUser lifecycle</t>
  </si>
  <si>
    <t>Admin-only AppUser screen</t>
  </si>
  <si>
    <t>Create an operator whose initials collide with an existing row</t>
  </si>
  <si>
    <t>Admin enters disambiguating initials (unique); operator rows carry AdAccount NULL and no Ignition role</t>
  </si>
  <si>
    <t>FAT-USR-190</t>
  </si>
  <si>
    <t>Operator deprecation</t>
  </si>
  <si>
    <t>An operator AppUser with historical events</t>
  </si>
  <si>
    <t>Deprecate the operator</t>
  </si>
  <si>
    <t>Standard DeprecatedAt soft-delete; events referencing the operator retain the historical AppUserId</t>
  </si>
  <si>
    <t>FDS-02-008  —  Terminal as Cell Kind</t>
  </si>
  <si>
    <t>FAT-TERM-010</t>
  </si>
  <si>
    <t>Terminal registration</t>
  </si>
  <si>
    <t>Config Tool location admin</t>
  </si>
  <si>
    <t>Register a shop-floor station as a Terminal Location</t>
  </si>
  <si>
    <t>Location created with LocationTypeDefinition = Terminal (resolving to LocationType = Cell), parented under a Cell/WorkCenter/Area</t>
  </si>
  <si>
    <t>FAT-TERM-020</t>
  </si>
  <si>
    <t>Terminal attributes</t>
  </si>
  <si>
    <t>A registered Terminal</t>
  </si>
  <si>
    <t>Set IP address, default Zebra printer, and scanner-availability attributes</t>
  </si>
  <si>
    <t>Attributes stored as LocationAttribute entries on the Terminal definition; registry surfaces a HasPrinter validation flag</t>
  </si>
  <si>
    <t>FAT-TERM-040</t>
  </si>
  <si>
    <t>Terminal resolves by IP</t>
  </si>
  <si>
    <t>A registered terminal</t>
  </si>
  <si>
    <t>Open a Perspective session from the terminal's IP</t>
  </si>
  <si>
    <t>Gateway resolver returns terminal identity, parent zone, and DefaultScreen (Terminal_GetByIpAddress) — no mode carried</t>
  </si>
  <si>
    <t>RE-CHECK 2026-08-11: -&gt;Pass Terminal_GetByIpAddress + ufn_NormalizeIpAddress resolve terminal by IP (aac8137c).</t>
  </si>
  <si>
    <t>FDS-02-009  —  Cell Context Selection</t>
  </si>
  <si>
    <t>FAT-TERM-060</t>
  </si>
  <si>
    <t>Dedicated cell context</t>
  </si>
  <si>
    <t>Start a session</t>
  </si>
  <si>
    <t>Location context is fixed to the Terminal's parent Location (Cell/Line/Area); no selector shown; events carry both TerminalLocationId and LocationId</t>
  </si>
  <si>
    <t>FAT-TERM-070</t>
  </si>
  <si>
    <t>Shared cell context selection</t>
  </si>
  <si>
    <t>A terminal running a shared-flavor view (Die Cast cabin)</t>
  </si>
  <si>
    <t>Start a session and pick the press</t>
  </si>
  <si>
    <t>Operator selects context by scan or dropdown from the terminal-parent's descendant equipment Cells (Terminal_ListContextCells); chosen LocationId applies to subsequent events</t>
  </si>
  <si>
    <t>FAT-TERM-080</t>
  </si>
  <si>
    <t>Mid-session context change</t>
  </si>
  <si>
    <t>A shared-flavor terminal with a context selected</t>
  </si>
  <si>
    <t>Change the cell context by scan or dropdown</t>
  </si>
  <si>
    <t>New LocationId applies to all subsequent events until changed again</t>
  </si>
  <si>
    <t>FDS-02-010  —  Terminal Behavior Determined by Assigned View</t>
  </si>
  <si>
    <t>FAT-TERM-090</t>
  </si>
  <si>
    <t>View flavor determines behavior</t>
  </si>
  <si>
    <t>Two terminals with different DefaultScreen assignments</t>
  </si>
  <si>
    <t>Compare a dedicated-flavor and a shared-flavor terminal</t>
  </si>
  <si>
    <t>Dedicated-vs-shared behavior follows the assigned operator view (DefaultScreen); no TerminalMode attribute exists; session.custom.presence.policy is set on load</t>
  </si>
  <si>
    <t>FAT-TERM-100</t>
  </si>
  <si>
    <t>DefaultScreen assignment</t>
  </si>
  <si>
    <t>Attach a Terminal under a tier and assign its DefaultScreen</t>
  </si>
  <si>
    <t>Terminal can be parented at Cell/WorkCenter/Area; behavior follows the assigned view from the MPP per-workstation list</t>
  </si>
  <si>
    <t>FDS-02-011  —  Cell Context Change Rules</t>
  </si>
  <si>
    <t>FAT-TERM-110</t>
  </si>
  <si>
    <t>Dedicated context locked</t>
  </si>
  <si>
    <t>A dedicated-flavor terminal</t>
  </si>
  <si>
    <t>Attempt to change the cell context</t>
  </si>
  <si>
    <t>No scan/dropdown/search is offered; the parent Location is the fixed context for the session</t>
  </si>
  <si>
    <t>FAT-TERM-120</t>
  </si>
  <si>
    <t>Shared context change constrained</t>
  </si>
  <si>
    <t>A shared-flavor terminal</t>
  </si>
  <si>
    <t>Change context via the selector</t>
  </si>
  <si>
    <t>Change is allowed only via scan-or-dropdown, constrained to descendant equipment Cells of the terminal's parent (prevents cross-machine misattribution)</t>
  </si>
  <si>
    <t>FDS-02-012  —  Part ↔ Cell Eligibility</t>
  </si>
  <si>
    <t>FAT-TERM-130</t>
  </si>
  <si>
    <t>Part↔Cell eligibility — direct</t>
  </si>
  <si>
    <t>A LOT being scanned into a cell</t>
  </si>
  <si>
    <t>Scan a LOT whose Item has direct ItemLocation eligibility at the cell or an ancestor tier</t>
  </si>
  <si>
    <t>Scan-in passes the eligibility check (ItemLocation_CheckEligibility)</t>
  </si>
  <si>
    <t>FAT-TERM-140</t>
  </si>
  <si>
    <t>Part↔Cell eligibility — BOM-derived</t>
  </si>
  <si>
    <t>A component LOT at an assembly cell</t>
  </si>
  <si>
    <t>Scan a LOT that is a child line of an eligible parent's active BOM</t>
  </si>
  <si>
    <t>Scan-in passes via BOM-derived eligibility (no explicit ItemLocation row required)</t>
  </si>
  <si>
    <t>FAT-TERM-150</t>
  </si>
  <si>
    <t>Ineligible part rejected</t>
  </si>
  <si>
    <t>A LOT with neither direct nor BOM-derived eligibility</t>
  </si>
  <si>
    <t>Scan the LOT into the cell</t>
  </si>
  <si>
    <t>Rejected: 'Part {PartNumber} is not configured for {CellCode} and is not a component of any part eligible there.'</t>
  </si>
  <si>
    <t>FDS-02-013  —  Mobile-Friendly Design Input</t>
  </si>
  <si>
    <t>Tablet-friendly Die Cast screens</t>
  </si>
  <si>
    <t>A Die Cast area tablet</t>
  </si>
  <si>
    <t>Operate the Die Cast screens on the tablet</t>
  </si>
  <si>
    <t>Layout is touch-friendly (targets &gt;= 44 px, portrait supported) and usable one-handed where practical</t>
  </si>
  <si>
    <t>ongoing design constraint</t>
  </si>
  <si>
    <t>FDS-02-014  —  Honda RFID Forward-Compatibility   [FUTURE]</t>
  </si>
  <si>
    <t>FAT-TERM-050</t>
  </si>
  <si>
    <t>Unrecognized terminal gate</t>
  </si>
  <si>
    <t>A station whose IP is not registered</t>
  </si>
  <si>
    <t>Open a session from the unregistered IP</t>
  </si>
  <si>
    <t>Terminal Selector gate appears (fallback context = whole Facility, subtitle 'Madison Facility'); operator picks the terminal from the plant tree</t>
  </si>
  <si>
    <t>BRA affordance || RE-CHECK 2026-08-11: -&gt;Pass unrecognized-terminal gate via normalized IP resolution (aac8137c).</t>
  </si>
  <si>
    <t>FDS-05-034  —  Die-Cast-Origin Tool + Cavity Required on Lot Create</t>
  </si>
  <si>
    <t>Open cavity basket</t>
  </si>
  <si>
    <t>Mounted die with defined cavities</t>
  </si>
  <si>
    <t>Open a new accumulating basket for a specific cavity</t>
  </si>
  <si>
    <t>A LOT is created for that (tool,cavity) with a printed LTT; the LOT records Die# and Cavity#</t>
  </si>
  <si>
    <t>FDS-05-035  —  Tools System of Record — On Lot, Not On ProductionEvent</t>
  </si>
  <si>
    <t>Tools system of record</t>
  </si>
  <si>
    <t>A die-cast-origin LOT with tool + cavity</t>
  </si>
  <si>
    <t>Inspect where Tool/Cavity are stored and check a downstream LOT</t>
  </si>
  <si>
    <t>Tool and Cavity live on Lots.Lot (never on ProductionEvent); a downstream finished-good LOT carries NULL Tool/Cavity but resolves the die via genealogy</t>
  </si>
  <si>
    <t>FDS-05-004  —  Manufactured LOT Creation (Die Cast) — Per-Cavity Open Basket</t>
  </si>
  <si>
    <t>Manufactured LOT creation</t>
  </si>
  <si>
    <t>A mounted die at a die-cast machine terminal</t>
  </si>
  <si>
    <t>Open a new per-cavity basket and confirm the LOT origin</t>
  </si>
  <si>
    <t>LOT is created with LotOriginType=Manufactured at the machine, ToolId/ToolCavityId set, status Open, PieceCount 0</t>
  </si>
  <si>
    <t>FDS-05-039  —  Die Cast Basket Lifecycle: Open → Accumulate → Release / Void</t>
  </si>
  <si>
    <t>One open basket already exists on a cavity</t>
  </si>
  <si>
    <t>Attempt to open a second basket on the same cavity</t>
  </si>
  <si>
    <t>System refuses — one open basket per (tool cavity) is enforced</t>
  </si>
  <si>
    <t>FDS-05-040  —  Shift-Output Recording (the Accumulate action)</t>
  </si>
  <si>
    <t>Shift-output accumulate</t>
  </si>
  <si>
    <t>An open cavity basket</t>
  </si>
  <si>
    <t>Record shift output (the accumulate action) across two shifts</t>
  </si>
  <si>
    <t>Each shift's net-good contribution is added to the open basket via DieCastContribution; the basket accumulates across shifts and operators until released</t>
  </si>
  <si>
    <t>FDS-05-041  —  Basket Release (Open → Good)</t>
  </si>
  <si>
    <t>FAT-DC-090</t>
  </si>
  <si>
    <t>Release basket to storage</t>
  </si>
  <si>
    <t>An open basket has accumulated good pieces</t>
  </si>
  <si>
    <t>Release the basket</t>
  </si>
  <si>
    <t>Basket transitions Open → Good and moves to warehouse storage (first route movement); it now appears in the Trim IN queue</t>
  </si>
  <si>
    <t>FAT-DC-100</t>
  </si>
  <si>
    <t>Under-fill release warning</t>
  </si>
  <si>
    <t>An open basket below the fill target</t>
  </si>
  <si>
    <t>Release a basket under the soft ceiling</t>
  </si>
  <si>
    <t>A warning is shown (5% tolerance) but release is permitted — soft ceiling never hard-blocks</t>
  </si>
  <si>
    <t>BRA refinement</t>
  </si>
  <si>
    <t>FDS-05-042  —  Basket Void (Open → Scrap)</t>
  </si>
  <si>
    <t>Void empty basket</t>
  </si>
  <si>
    <t>An open basket with zero good pieces</t>
  </si>
  <si>
    <t>Void the empty basket</t>
  </si>
  <si>
    <t>Empty Open basket transitions to Scrap; no storage movement</t>
  </si>
  <si>
    <t>FDS-06-003  —  Die Cast Shift-Output Recording (amended 2026-07-29)</t>
  </si>
  <si>
    <t>FAT-DC-050</t>
  </si>
  <si>
    <t>Record shift output</t>
  </si>
  <si>
    <t>An open basket exists on at least one cavity</t>
  </si>
  <si>
    <t>Enter the gross shot count and any scrap for the shift and submit</t>
  </si>
  <si>
    <t>Good = gross − scrap − shot-loss is credited to the open basket(s); a production/contribution record is written with operator, machine, die, cavity, counts</t>
  </si>
  <si>
    <t>FAT-DC-070</t>
  </si>
  <si>
    <t>Record shift output — shot loss</t>
  </si>
  <si>
    <t>Recording shift output</t>
  </si>
  <si>
    <t>Register a whole-shot loss</t>
  </si>
  <si>
    <t>Shot loss fans out across every open cavity LOT on the tool and reduces computed good</t>
  </si>
  <si>
    <t>FDS-06-016  —  Production Event Fields</t>
  </si>
  <si>
    <t>Production event fields</t>
  </si>
  <si>
    <t>A recorded production event</t>
  </si>
  <si>
    <t>Inspect the production event fields</t>
  </si>
  <si>
    <t>Event carries LotId, LocationId, TerminalLocationId, AppUserId, counts, and timestamp; Tool/Cavity are derived via the LOT, not stored on the event</t>
  </si>
  <si>
    <t>FDS-06-017  —  Reject Recording</t>
  </si>
  <si>
    <t>Reject recording</t>
  </si>
  <si>
    <t>Die-cast shift-output entry with scrap</t>
  </si>
  <si>
    <t>Record a reject with a defect code and quantity</t>
  </si>
  <si>
    <t>A RejectEvent is written (optional — reject is not required to record production); scrap is additive and does not decrement the basket good count</t>
  </si>
  <si>
    <t>FDS-06-018  —  Reject Event Fields</t>
  </si>
  <si>
    <t>Reject event fields</t>
  </si>
  <si>
    <t>A recorded reject event</t>
  </si>
  <si>
    <t>Inspect the reject event fields</t>
  </si>
  <si>
    <t>RejectEvent carries LotId, defect code, reject quantity, scrap source, operator, terminal, and timestamp</t>
  </si>
  <si>
    <t>FDS-06-019  —  Reject Data Classification and Scrap Handling Patterns</t>
  </si>
  <si>
    <t>Record shift output — scrap</t>
  </si>
  <si>
    <t>Enter one or more scrap reasons with quantities</t>
  </si>
  <si>
    <t>Scrap is recorded additively as a separate metric and never decrements the basket good count</t>
  </si>
  <si>
    <t>FAT-DC-080</t>
  </si>
  <si>
    <t>Die shot-count initialization</t>
  </si>
  <si>
    <t>Commissioning/deploy checklist item</t>
  </si>
  <si>
    <t>Verify the die shot-count was initialized to the current physical count at commissioning</t>
  </si>
  <si>
    <t>Die shot counter reflects the real starting shot count (deploy-day step)</t>
  </si>
  <si>
    <t>FRS 3.14.8 — commissioning | [insp] needs live/witness: MANUAL. Explicitly a deploy-day/commissioning checklist item: verify the die shot counter was initialized to the real physical shot count at commissioning. Shot-count feature exists (0050_tool_shot_count, Tool shot fields, Tool_Update shotlimit), but whether the counter was seeded to the actual physical count is commissioning-time data not verifiable from the repo.</t>
  </si>
  <si>
    <t>FAT-DC-120</t>
  </si>
  <si>
    <t>Basket overflow gate</t>
  </si>
  <si>
    <t>Recording output that would exceed the basket ceiling</t>
  </si>
  <si>
    <t>Submit output over the ceiling</t>
  </si>
  <si>
    <t>Overflow-resolution popup offers fill+release+new-LTT or overfill; operator choice is honored</t>
  </si>
  <si>
    <t>FDS-06-004  —  Trim IN      (FRS 2.2.3)</t>
  </si>
  <si>
    <t>FAT-TRIM-010</t>
  </si>
  <si>
    <t>A released die-cast LOT sits in this Trim area's IN queue; terminal bound to the Trim shop</t>
  </si>
  <si>
    <t xml:space="preserve">Scan the LTT barcode of an arriving LOT </t>
  </si>
  <si>
    <t>A LotMovement is recorded to the Trim Shop Area; the LOT is checked in at Trim at area resolution (no line/cell tracking)</t>
  </si>
  <si>
    <t>FAT-TRIM-020</t>
  </si>
  <si>
    <t>Trim terminal bound to its shop zone</t>
  </si>
  <si>
    <t>Inspect the Trim IN queue</t>
  </si>
  <si>
    <t>Queue lists die-cast LOTs whose next pending route step is Trim, scoped to the terminal's Trim zone, ordered FIFO by arrival</t>
  </si>
  <si>
    <t>FDS-06-006  —  Trim OUT (ProductionEvent + Whole-LOT Move to Machining)</t>
  </si>
  <si>
    <t>FAT-TRIM-060</t>
  </si>
  <si>
    <t>Trim OUT</t>
  </si>
  <si>
    <t>A LOT is checked in at this Trim shop</t>
  </si>
  <si>
    <t>Enter the LOT's shot count and trigger Trim OUT</t>
  </si>
  <si>
    <t>In one transaction a closing Workorder.ProductionEvent checkpoint is written and the WHOLE LOT is moved into this shop's local Trim Storage (TRIM{N}-STORE); the LOT stays open, no split, no child LOTs</t>
  </si>
  <si>
    <t>Destination picker retired 2026-07-23 - Trim OUT always deposits to the shop's local Trim Storage; Machining IN assigns the line later</t>
  </si>
  <si>
    <t>FAT-TRIM-070</t>
  </si>
  <si>
    <t>Recording Trim OUT with sprue/yield scrap</t>
  </si>
  <si>
    <t>Enter a scrap count and submit</t>
  </si>
  <si>
    <t>Scrap decrements the LOT: PieceCount is reduced by the scrap count so the LOT arrives in Trim Storage with its real remaining quantity</t>
  </si>
  <si>
    <t>FAT-TRIM-080</t>
  </si>
  <si>
    <t>A LOT with a known PieceCount</t>
  </si>
  <si>
    <t>Enter shot + scrap counts whose combined sum exceeds the LOT's PieceCount and submit</t>
  </si>
  <si>
    <t>System rejects with a clear message - combined shot+scrap can never exceed PieceCount</t>
  </si>
  <si>
    <t>FAT-TRIM-090</t>
  </si>
  <si>
    <t>A LOT already Trim-OUT'd (now in Trim Storage)</t>
  </si>
  <si>
    <t>Attempt a second Trim OUT of the same LOT from the Trim station</t>
  </si>
  <si>
    <t>System rejects - the LOT is no longer at this Trim station (double-checkout block)</t>
  </si>
  <si>
    <t>RE-CHECK 2026-08-11: -&gt;Pass Trim OUT re-entry rejected for a LOT already in Trim Storage (34266c86, 657f3e39).</t>
  </si>
  <si>
    <t>FDS-05-022  —  Sublot Pattern (Machining)</t>
  </si>
  <si>
    <t>Machining OUT consume-mint</t>
  </si>
  <si>
    <t>A machined line has open Good castings at its cell and a published SubAssembly BOM consuming that casting</t>
  </si>
  <si>
    <t>Trigger Machining OUT for a piece count</t>
  </si>
  <si>
    <t>A new SubAssembly part-number LOT is minted (its own PieceCount, status, location) carrying a genealogy edge back to the source casting</t>
  </si>
  <si>
    <t>Machining OUT is a consume-MINT (Workorder.MachiningOut_Mint), not a rename and not a plain same-part split</t>
  </si>
  <si>
    <t>FDS-05-009  —  Machining OUT Sub-LOT Extraction Workflow (Extract-One / Partial-Remainder)      (FRS 2.1.4, 2.2.5, 3.9.12)</t>
  </si>
  <si>
    <t>FAT-MACH-020</t>
  </si>
  <si>
    <t>Multiple open same-part castings sit at the cell with different arrival times</t>
  </si>
  <si>
    <t>Mint a SubAssembly for a quantity spanning more than one casting</t>
  </si>
  <si>
    <t>Consumption is strict oldest-first (FIFO arrival order) across all open same-part castings at the cell, rolling into the next as each empties; no casting is driven negative</t>
  </si>
  <si>
    <t>FAT-MACH-030</t>
  </si>
  <si>
    <t>A mint consumes two source castings</t>
  </si>
  <si>
    <t>Complete the mint and inspect genealogy</t>
  </si>
  <si>
    <t>One ConsumptionEvent + Consumption genealogy edge + closure row is written per source casting (multi-parent traceability); minted LOT is named &lt;oldest-casting-LTT&gt;-NN</t>
  </si>
  <si>
    <t>FDS-05-011  —  Split Genealogy Permanence</t>
  </si>
  <si>
    <t>Genealogy permanence</t>
  </si>
  <si>
    <t>A minted SubAssembly LOT with a recorded consume-mint</t>
  </si>
  <si>
    <t>Open the genealogy view and trace both directions</t>
  </si>
  <si>
    <t>Minted LOT -&gt; source castings and casting -&gt; minted children are both queryable; the genealogy edge + closure are permanent and immutable</t>
  </si>
  <si>
    <t>Machining OUT edges are Consumption (RelationshipTypeId=3), not Split, in the current consume-mint model</t>
  </si>
  <si>
    <t>FDS-05-033  —  Trim → Machining Rename via 1-Line BOM</t>
  </si>
  <si>
    <t>Machining IN FIFO claim</t>
  </si>
  <si>
    <t>A trimmed LOT sits in local Trim Storage and is eligible for this line</t>
  </si>
  <si>
    <t>Pick/claim the LOT at Machining IN</t>
  </si>
  <si>
    <t>The SAME LOT is claimed onto the line and a MachiningIn checkpoint ProductionEvent is recorded; the LOT keeps its identity, item, status and piece count - NO new LOT, NO ConsumptionEvent, NO rename at IN</t>
  </si>
  <si>
    <t>Trim-&gt;Machining rename-via-1-line-BOM is RETIRED; identity change now happens at the Machining OUT mint (FDS-05-009). FDS-05-033 title is stale.</t>
  </si>
  <si>
    <t>FDS-06-007  —  Machining IN (FIFO Pick + Trim → Machining Rename)      (FRS 2.2.4)</t>
  </si>
  <si>
    <t>FAT-MACH-090</t>
  </si>
  <si>
    <t>Trimmed LOTs deposited in this shop's Trim Storage</t>
  </si>
  <si>
    <t>Inspect the line's Machining IN queue</t>
  </si>
  <si>
    <t>Queue surfaces the Trim-Storage LOTs eligible for this line, ordered FIFO by arrival (LotMovement.MovedAt)</t>
  </si>
  <si>
    <t>FAT-MACH-100</t>
  </si>
  <si>
    <t>An eligible LOT shows in the Machining IN queue</t>
  </si>
  <si>
    <t>Claim the next LOT to this line</t>
  </si>
  <si>
    <t>In one transaction the whole LOT is moved Trim Storage -&gt; line and a MachiningIn checkpoint is written; the LOT then drops off every other line's queue</t>
  </si>
  <si>
    <t>FDS-06-008  —  Machining OUT (Sub-LOT Split on Sublotting Lines, else Auto-Move to Coupled Assembly Cell)      (FRS 2.2.5)</t>
  </si>
  <si>
    <t>Machining OUT branch</t>
  </si>
  <si>
    <t>A machining line configured to mint a SubAssembly</t>
  </si>
  <si>
    <t>Trigger Machining OUT for the line</t>
  </si>
  <si>
    <t>Machining OUT mints the SubAssembly via route-driven consume-mint; mints are line-resident</t>
  </si>
  <si>
    <t>FDS-06-008 title mentions auto-move to a coupled assembly cell — that cell-coupling mechanism is RETIRED; no cell-&gt;cell auto-move</t>
  </si>
  <si>
    <t>FDS-06-009  —  Machining Production Event</t>
  </si>
  <si>
    <t>FAT-MACH-130</t>
  </si>
  <si>
    <t>Machining production event</t>
  </si>
  <si>
    <t>A LOT in process at a machining line</t>
  </si>
  <si>
    <t>Record a machining production event (submit counters)</t>
  </si>
  <si>
    <t>A Workorder.ProductionEvent checkpoint is written against the LOT with cumulative counters, operator, terminal and timestamp</t>
  </si>
  <si>
    <t>FAT-MACH-140</t>
  </si>
  <si>
    <t>Recording a machining event with rejects</t>
  </si>
  <si>
    <t>Enter one or more defect codes with reject quantities and submit</t>
  </si>
  <si>
    <t>A RejectEvent row is written for each defect code used</t>
  </si>
  <si>
    <t>RE-CHECK 2026-08-11: -&gt;Pass MachiningOut_Mint @ScrapLinesJson writes RejectEvent per code; MachiningOutSplit scrap panel (Brief C).</t>
  </si>
  <si>
    <t>FDS-06-026  —  Future Maintenance-Engine Schema Hooks   [FUTURE]</t>
  </si>
  <si>
    <t>FDS-06-010  —  Serialized Assembly (PLC-Integrated)</t>
  </si>
  <si>
    <t>FAT-ASM-010</t>
  </si>
  <si>
    <t>Serialized assembly part cycle</t>
  </si>
  <si>
    <t>Serialized line with a MIP-integrated PLC; an open container/tray and an identified source LOT</t>
  </si>
  <si>
    <t>Run one part cycle: PLC asserts DataReady, MES reads PartSN</t>
  </si>
  <si>
    <t>MES validates the serial (not duplicate, format valid, source LOT not on hold), writes PartValid=1, mints a SerializedPart, places it in the tray as a ContainerSerial, decrements the source LOT per BOM, and writes a Consumption genealogy edge</t>
  </si>
  <si>
    <t>PLC commissioning / simulator | [insp] needs live/witness: LIVE. SerializedMipWatcher mints a SerializedPart + writes PartValid, but the full per-piece cycle — ContainerSerial placement, per-BOM source decrement, and Consumption genealogy edge — is a commissioning stub (AssemblyPlc._handlePiece is a no-op skeleton, AssemblyPlc/code.py:61-70; SerializedMipWatcher does not call ContainerSerial_Add/ConsumptionEvent). Procs exist as building blocks but the end-to-end serialized cycle needs a live wired line.</t>
  </si>
  <si>
    <t>FAT-ASM-020</t>
  </si>
  <si>
    <t>A serial number already recorded in the system</t>
  </si>
  <si>
    <t>Present a duplicate (or bad-format) PartSN on the next cycle</t>
  </si>
  <si>
    <t>MES writes PartValid=0 back to the PLC and rejects the part; no SerializedPart / ConsumptionEvent is written</t>
  </si>
  <si>
    <t>PLC commissioning / simulator | [insp] needs live/witness: LIVE. SerializedPart_Mint rejects a duplicate/pre-existing serial (R__Lots_SerializedPart_Mint.sql:62-68) and the watcher writes PartValid=ok(False) with no SerializedPart/ConsumptionEvent on reject. Verifying the PLC write-back on the next cycle requires firing a real edge against a live watcher.</t>
  </si>
  <si>
    <t>FAT-ASM-030</t>
  </si>
  <si>
    <t>Serialized tray completion</t>
  </si>
  <si>
    <t>A serialized tray filled to its configured part count</t>
  </si>
  <si>
    <t>Complete the serialized tray</t>
  </si>
  <si>
    <t>A finished-good LOT is minted (tray = LOT); every SerializedPart for the tray sets ProducingLotId to that LOT and each ConsumptionEvent targets it via ProducedLotId; ContainerSerial still pins each serial to its tray</t>
  </si>
  <si>
    <t>PLC commissioning / simulator | [insp] needs live/witness: LIVE. No serialized-tray-completion proc repoints every SerializedPart.ProducingLotId to a newly minted FG tray LOT; SerializedPart_Mint sets ProducingLotId at mint to the queue LOT, and the serialized filling/completion is a commissioning stub (AssemblyPlc._handlePiece no-op). Confirming the tray=LOT serialized completion behavior needs a live wired line + runtime data.</t>
  </si>
  <si>
    <t>FDS-06-011  —  Serialized Assembly Material Identification      (FRS 3.10.6)</t>
  </si>
  <si>
    <t>FAT-ASM-040</t>
  </si>
  <si>
    <t>Serialized material identification</t>
  </si>
  <si>
    <t>Operation template has RequiresMaterialVerification = true; a GOOD source LOT that is a BOM component</t>
  </si>
  <si>
    <t>Scan the source LOT's LTT barcode before production</t>
  </si>
  <si>
    <t>BOM-based verification passes — item matches an active-BOM component, status GOOD, sufficient pieces — and the LOT is accepted as a consumption source</t>
  </si>
  <si>
    <t>[insp] Workorder.Assembly_ScanIn performs BOM-based material identification before production: it rejects a blocked/Closed LOT (accepts GOOD) and requires the scanned LOT's Item to be a BomLine.ChildItemId of an active published BOM whose parent is produced at this cell, then accepts it into the consumption queue (R__Workorder_Assembly_ScanIn.sql:57-83,95-99). (Sufficient-pieces is enforced downstream at consume in Assembly_CompleteTray.)</t>
  </si>
  <si>
    <t>FAT-ASM-050</t>
  </si>
  <si>
    <t>A LOT whose item is NOT in the active BOM</t>
  </si>
  <si>
    <t>Scan the wrong-part LOT</t>
  </si>
  <si>
    <t>System rejects the material with a clear wrong-part error and does not record consumption</t>
  </si>
  <si>
    <t>[insp] Wrong-part rejection is concrete: Assembly_ScanIn rejects a non-component LOT ('is not a configured component for any assembly produced at this cell', R__Workorder_Assembly_ScanIn.sql:72-83) and Workorder.ConsumptionEvent_RecordWithBomCheck rejects a BOM mismatch with no consumption written (R__Workorder_ConsumptionEvent_RecordWithBomCheck.sql:80-89).</t>
  </si>
  <si>
    <t>FAT-ASM-060</t>
  </si>
  <si>
    <t>BOM substitute override</t>
  </si>
  <si>
    <t>A wrong-part scan blocked by the strict BOM check</t>
  </si>
  <si>
    <t>A supervisor authorizes a one-shot BOM-substitute override via AD elevation</t>
  </si>
  <si>
    <t>The scanned LOT is accepted despite the BOM mismatch; an Audit.OperationLog row captures the original BOM expectation, substitute, operator, supervisor, terminal, and timestamp</t>
  </si>
  <si>
    <t>[insp] ConsumptionEvent_RecordWithBomCheck supports a supervisor one-shot override: @OverrideAuthorized=1 + authorizing @OverrideAppUserId accepts the mismatched material and writes a MaterialSubstituteOverride audit (Audit.OperationLog) capturing operator (AppUserId), supervisor (OverrideAppUserId), ConsumedItemId/ProducedItemId, terminal, and timestamp (R__Workorder_ConsumptionEvent_RecordWithBomCheck.sql:91-120). (AD elevation is the UI concern.)</t>
  </si>
  <si>
    <t>FDS-06-012  —  Hardware Interlock Bypass</t>
  </si>
  <si>
    <t>Hardware interlock bypass</t>
  </si>
  <si>
    <t>Automation sets HardwareInterlockEnable=false</t>
  </si>
  <si>
    <t>Run a part cycle in bypass mode</t>
  </si>
  <si>
    <t>MES accepts PartSN=NoRead, still records the production/serial, flags the NoRead for quality review, sets ContainerSerial.HardwareInterlockBypassed=1, and does NOT block production</t>
  </si>
  <si>
    <t>PLC commissioning / simulator | [insp] needs live/witness: LIVE. Schema/proc support exists: ContainerSerial.HardwareInterlockBypassed column (0028 migration) + Lots.ContainerSerial_Add @HardwareInterlockBypassed param (R__Lots_ContainerSerial_Add.sql:18,92) and blank-serial auto-gen (NoRead) in SerializedPart_Mint. But the interlock-off -&gt; still-record -&gt; set-bypass=1 -&gt; quality-review-flag end-to-end is the AssemblyPlc commissioning stub (no-op) and needs a live wired line; no explicit NoRead 'quality review' flag proc found.</t>
  </si>
  <si>
    <t>FDS-06-013  —  Non-Serialized Assembly (Mint Finished-Good LOT; Tray = LOT)</t>
  </si>
  <si>
    <t>FAT-ASM-080</t>
  </si>
  <si>
    <t>Non-serialized tray = LOT mint</t>
  </si>
  <si>
    <t>Non-serialized assembly cell; FG item eligible; component stock staged at the line</t>
  </si>
  <si>
    <t>Select the FG item from the eligibility dropdown and complete a tray</t>
  </si>
  <si>
    <t>A finished-good LOT is minted (origin Manufactured, at the cell) whose PieceCount equals the closure-determined count; the tray references that LOT</t>
  </si>
  <si>
    <t>FAT-ASM-090</t>
  </si>
  <si>
    <t>Non-serialized BOM consumption</t>
  </si>
  <si>
    <t>A minted FG tray with multiple component LOTs staged</t>
  </si>
  <si>
    <t>Inspect the component draw after tray completion</t>
  </si>
  <si>
    <t>BOM components are consumed FIFO oldest-first by CreatedAt into the FG LOT; source LOTs are decremented (and closed at zero); a Consumption edge links each source to the FG LOT</t>
  </si>
  <si>
    <t>FAT-ASM-100</t>
  </si>
  <si>
    <t>Non-serialized insufficient stock</t>
  </si>
  <si>
    <t>A tray whose BOM needs more component pieces than are staged</t>
  </si>
  <si>
    <t>Attempt to complete the tray</t>
  </si>
  <si>
    <t>System refuses and names the short component(s) with need-vs-have (e.g. PartNumber (need X, have Y)); no FG LOT is minted</t>
  </si>
  <si>
    <t>FDS-06-014  —  Tray Validation + Container Accumulation</t>
  </si>
  <si>
    <t>FAT-ASM-110</t>
  </si>
  <si>
    <t>Tray validation</t>
  </si>
  <si>
    <t>A ByCount container config with a defined PartsPerTray</t>
  </si>
  <si>
    <t>Complete a tray whose parts count does not match PartsPerTray</t>
  </si>
  <si>
    <t>System rejects the tray with a count-mismatch message; a matching count is required to close</t>
  </si>
  <si>
    <t>FAT-ASM-120</t>
  </si>
  <si>
    <t>Container accumulation</t>
  </si>
  <si>
    <t>An open container being filled tray by tray</t>
  </si>
  <si>
    <t>Complete successive trays and watch the container running count</t>
  </si>
  <si>
    <t>Each completed tray increments the container by PartsPerTray; the container reports FULL when accumulation reaches TraysPerContainer x PartsPerTray</t>
  </si>
  <si>
    <t>FAT-ASM-130</t>
  </si>
  <si>
    <t>Over-fill tray guard</t>
  </si>
  <si>
    <t>An open container already at its full target</t>
  </si>
  <si>
    <t>Attempt to complete another tray onto it</t>
  </si>
  <si>
    <t>System refuses the tray and prompts to Complete/ship the full container before starting a new tray</t>
  </si>
  <si>
    <t>FDS-06-020  —  Consumption Tracking</t>
  </si>
  <si>
    <t>Consumption tracking</t>
  </si>
  <si>
    <t>A completed non-serialized tray</t>
  </si>
  <si>
    <t>Inspect the ConsumptionEvent rows written for the tray</t>
  </si>
  <si>
    <t>Each event is immutable and records source LOT, ProducedLotId = the FG LOT, consumed item, produced item, piece count, location, operator, terminal, tray, and timestamp</t>
  </si>
  <si>
    <t>FDS-06-021  —  Consumption Genealogy      (FRS 3.13.2)</t>
  </si>
  <si>
    <t>Consumption genealogy</t>
  </si>
  <si>
    <t>A finished-good LOT minted from assembly</t>
  </si>
  <si>
    <t>Open the genealogy for the FG LOT</t>
  </si>
  <si>
    <t>A Consumption genealogy edge + closure links the FG LOT back to every component LOT consumed (shape Container -&gt; Tray -&gt; FG LOT -&gt; component LOTs); Honda trace resolves through the closure table</t>
  </si>
  <si>
    <t>FDS-06-028  —  Auto-Finish on Target (Camera / Scale)</t>
  </si>
  <si>
    <t>FAT-ASM-160</t>
  </si>
  <si>
    <t>Completion confirm gate</t>
  </si>
  <si>
    <t>A terminal with RequiresCompletionConfirm set</t>
  </si>
  <si>
    <t>Complete a full container at that terminal without confirming</t>
  </si>
  <si>
    <t>Container_Complete refuses until the operator presses the large Confirm Completion gesture; a terminal without the attribute proceeds with a passive popup</t>
  </si>
  <si>
    <t>[insp] Lots.Container_Complete enforces the per-terminal RequiresCompletionConfirm gate: when the terminal's LocationAttribute is true it refuses ('Completion confirmation required at this terminal') unless @OperatorConfirmed or @PlcCompletionConfirmed is set (R__Lots_Container_Complete.sql:80-92); a terminal without the attribute proceeds. Covered by test 0028/060. (Confirm-gesture vs passive-popup is UI presentation.)</t>
  </si>
  <si>
    <t>FAT-ASM-170</t>
  </si>
  <si>
    <t>Auto-finish on target</t>
  </si>
  <si>
    <t>A WO configured for camera-count (or scale-weight) auto-finish</t>
  </si>
  <si>
    <t>Drive cumulative good count (or weight) to the target with the PLC CompletionConfirmed BIT asserted</t>
  </si>
  <si>
    <t>WO auto-closes only when BOTH the count/weight crossing AND the PLC CompletionConfirmed BIT are true; the crossing alone does not close</t>
  </si>
  <si>
    <t>WO subsystem CONDITIONAL; PLC commissioning / simulator | [insp] needs live/witness: LIVE. The dual-gate auto-finish (count/weight crossing AND PLC CompletionConfirmed BIT) for WO auto-close is not clearly implemented as a proc (Work Orders are CONDITIONAL scope); plcCompleteTray passes plcCompletionConfirmed only for container completion on ContainerFull. Verifying 'crossing alone does not close' requires a configured WO + live count/weight driving + PLC BIT.</t>
  </si>
  <si>
    <t>FDS-07-001  —  Container Creation</t>
  </si>
  <si>
    <t>Container creation</t>
  </si>
  <si>
    <t>An assembly cell with no open container for the FG item</t>
  </si>
  <si>
    <t>Complete the first tray (non-serialized) or place the first serialized part</t>
  </si>
  <si>
    <t>A Container is created automatically (assigned config, Open status) and begins filling</t>
  </si>
  <si>
    <t>FDS-07-002  —  Container Status Codes</t>
  </si>
  <si>
    <t>Container status codes</t>
  </si>
  <si>
    <t>A container progressing through its lifecycle</t>
  </si>
  <si>
    <t>Complete then ship a container; separately place one on hold / void one</t>
  </si>
  <si>
    <t>Status is driven by ContainerStatusCode: Open -&gt; Complete -&gt; Shipped, with Hold and Void available for quality disposition</t>
  </si>
  <si>
    <t>FDS-07-003  —  Container Filling — Serialized Lines</t>
  </si>
  <si>
    <t>Serialized container filling</t>
  </si>
  <si>
    <t>A serialized line with an open container</t>
  </si>
  <si>
    <t>Place serialized parts through successive tray positions</t>
  </si>
  <si>
    <t>Each part creates a ContainerSerial (container, tray, serial, position); the tray count advances at PartsPerTray and the container closes at TraysPerContainer</t>
  </si>
  <si>
    <t>PLC commissioning / simulator | [insp] needs live/witness: LIVE. Building blocks exist: Lots.ContainerSerial_Add records (container, tray, serial, position) with a UNIQUE-per-serial guard (R__Lots_ContainerSerial_Add.sql), and ContainerConfig carries PartsPerTray/TraysPerContainer. But the serialized per-piece filling loop (advance at PartsPerTray, close at TraysPerContainer) is the AssemblyPlc commissioning stub (no-op); end-to-end filling needs a live wired serialized line.</t>
  </si>
  <si>
    <t>FDS-07-004  —  Container Filling — Non-Serialized Lines</t>
  </si>
  <si>
    <t>Non-serialized container filling</t>
  </si>
  <si>
    <t>A non-serialized line packing a container</t>
  </si>
  <si>
    <t>Fill and close trays until the container reaches capacity</t>
  </si>
  <si>
    <t>ContainerTray rows are created as trays close and the container closes when configured capacity is reached</t>
  </si>
  <si>
    <t>FDS-07-005  —  Container Closure</t>
  </si>
  <si>
    <t>FAT-ASM-230</t>
  </si>
  <si>
    <t>Container closure</t>
  </si>
  <si>
    <t>A full open container with an available AIM shipper ID in the pool</t>
  </si>
  <si>
    <t>Complete the container</t>
  </si>
  <si>
    <t>In one atomic local-DB transaction the container flips to Complete, claims the next FIFO AIM shipper ID, stores it on the container, and inserts a ShippingLabel row — no in-between state without an AIM ID</t>
  </si>
  <si>
    <t>FAT-ASM-240</t>
  </si>
  <si>
    <t>Over-target close guard</t>
  </si>
  <si>
    <t>A container whose accumulated parts exceed the configured target</t>
  </si>
  <si>
    <t>Attempt to complete the over-filled container</t>
  </si>
  <si>
    <t>System refuses with a data-integrity error and leaves the container Open for remediation (never ships an over-target container under one AIM ID)</t>
  </si>
  <si>
    <t>FDS-05-005  —  Received LOT Creation (Pass-Through Parts)      (FRS 2.1.1, 2.1.12)</t>
  </si>
  <si>
    <t>FAT-INSP-010</t>
  </si>
  <si>
    <t>Received LOT creation</t>
  </si>
  <si>
    <t>Receiving Dock terminal; a vendor pass-through part</t>
  </si>
  <si>
    <t>Create a received LOT for the incoming vendor material</t>
  </si>
  <si>
    <t>A LOT is created with origin Received, recording the vendor lot number and piece count</t>
  </si>
  <si>
    <t>[insp] ReceivingDock view createLot resolves origin via BlueRidge.Lots.Lot.getOriginTypeIdByCode('Received') (view.json:25-33) and calls Lot.create with lotOriginTypeId=Received, vendorLotNumber, and pieceCount; Lots.LotOriginType 'Received' (id 2) is seeded and Lot_Create supports VendorLotNumber.</t>
  </si>
  <si>
    <t>FAT-INSP-020</t>
  </si>
  <si>
    <t>Received LOT label</t>
  </si>
  <si>
    <t>A just-created received LOT</t>
  </si>
  <si>
    <t>Observe the LTT label print</t>
  </si>
  <si>
    <t>An LTT label prints via the dock's Zebra with print reason Initial (no pre-printed tag exists for vendor material)</t>
  </si>
  <si>
    <t>Zebra simulated in dev | [insp] needs live/witness: HW - After create, ReceivingDock calls LotLabel.printLabel to the dock Zebra, but printReasonCodeId is passed as None with an explicit phase4 TODO ('no resolver for the Initial print-reason id'); the 'Initial' reason is not yet wired, and witnessing an actual Zebra print requires the physical printer.</t>
  </si>
  <si>
    <t>FDS-05-006  —  Off-Site Received LOT Creation</t>
  </si>
  <si>
    <t>Off-site received LOT</t>
  </si>
  <si>
    <t>The same Perspective app reached remotely (VPN / published gateway)</t>
  </si>
  <si>
    <t>Create a received LOT at an off-site inventory location</t>
  </si>
  <si>
    <t>The workflow is identical to on-site receiving except origin = ReceivedOffsite and the location is the off-site inventory location</t>
  </si>
  <si>
    <t>[insp] needs live/witness: LIVE - The ReceivedOffsite origin (LotOriginType id 3) is seeded and Lot_Create supports it, but the ReceivingDock UI hardcodes getOriginTypeIdByCode('Received') with no UI path selecting ReceivedOffsite (design spec Q9 is an open item: 'origin selectable/derived from terminal' not yet decided/built). Off-site receipt via remote VPN also needs the live/published gateway.</t>
  </si>
  <si>
    <t>FAT-INSP-040</t>
  </si>
  <si>
    <t>Third-party inspection check-in</t>
  </si>
  <si>
    <t>A third-party inspection terminal</t>
  </si>
  <si>
    <t>Use the Check In tab to receive a vendor LOT into the inspection queue</t>
  </si>
  <si>
    <t>The Check In tab (embedded Receiving Dock) creates the received LOT and it appears in the Inspect-tab queue for the station</t>
  </si>
  <si>
    <t>BRA — third-party inspection station wiring | [insp] needs live/witness: LIVE - The Check In tab embeds ReceivingDock (ThirdPartyInspection/view.json CheckInTab -&gt; ShopFloor/ReceivingDock), so the created received LOT half is built. But the Inspect-tab queue is unverified: the queue proc Lots.Lot_GetInspectionQueueByLocation / entity method getInspectionQueue is not referenced by any Perspective view (only Core code.py + NQ); the Inspect tab embeds InspectionEntry, a single-LOT quality entry keyed by lotName param, not a station queue. Needs the live station to confirm the checked-in LOT appears in a queue.</t>
  </si>
  <si>
    <t>FDS-05-013  —  Status Codes      (FRS 3.16.3)</t>
  </si>
  <si>
    <t>FAT-QH-010</t>
  </si>
  <si>
    <t>LOT status codes</t>
  </si>
  <si>
    <t>Review the seeded LotStatusCode values</t>
  </si>
  <si>
    <t>Good, Hold, Scrap, Closed, and Open are all present with the correct Name and Description</t>
  </si>
  <si>
    <t>[insp] 0004_phase3_reference_lookups.sql:61-65 seeds Good/Hold/Scrap/Closed; 0045_diecast_per_cavity_lifecycle.sql:12-14 appends Open. All 5 present with correct Code/Name; test 0004_Lots_codes/010:64 asserts 5 rows. Note: LotStatusCode has no Description column (schema is {Id,Code,Name,BlocksProduction}); presence+names verified.</t>
  </si>
  <si>
    <t>FAT-QH-020</t>
  </si>
  <si>
    <t>Inspect the BlocksProduction flag on each status</t>
  </si>
  <si>
    <t>Hold / Scrap / Closed block production; Good and Open do not (Open is the die-cast accumulator state)</t>
  </si>
  <si>
    <t>[insp] BlocksProduction flags (0004:61-65 + 0045): Good=0, Hold=1, Scrap=1, Closed=0, Open=0. Hold/Scrap block via flag; Good/Open do not. Closed's flag is 0 but Closed IS blocked from production via the terminal-Closed special case in R__Lots_Lot_AssertNotBlocked.sql:47 (and Lot_Split:238) — 'a closed LOT must not advance even though BlocksProduction=0'. Functional expectation met; note the Closed mechanism is the terminal guard, not the flag.</t>
  </si>
  <si>
    <t>FDS-05-014  —  Status Transition Rules</t>
  </si>
  <si>
    <t>FAT-QH-030</t>
  </si>
  <si>
    <t>Status transition rules</t>
  </si>
  <si>
    <t>A Good LOT fully consumed/split</t>
  </si>
  <si>
    <t>Close the LOT (Good to Closed)</t>
  </si>
  <si>
    <t>Transition is permitted and a LotStatusHistory row is written; Good to Closed is the enabled status-change path</t>
  </si>
  <si>
    <t>[insp] R__Lots_Lot_UpdateStatus.sql:143-155 permits exactly Good-&gt;Closed; :183-184 inserts LotStatusHistory row; :186-196 audits LotStatusChanged. Good-&gt;Closed is the sole enabled status-change path.</t>
  </si>
  <si>
    <t>FAT-QH-040</t>
  </si>
  <si>
    <t>A Good LOT</t>
  </si>
  <si>
    <t>Attempt a disallowed direct status change (e.g. Good to Scrap)</t>
  </si>
  <si>
    <t>System rejects the transition with a clear message</t>
  </si>
  <si>
    <t>Lot_UpdateStatus enables only Good to Closed; Hold transitions run through the hold workflow (place/release), Open to Good/Scrap only via die-cast Release/Void. Direct Good to Scrap / Hold to Scrap / Hold to Closed are not wired in the status-change proc. | [insp] R__Lots_Lot_UpdateStatus.sql:144-154 rejects any transition other than Good-&gt;Closed with clear message 'Transition &lt;cur&gt; -&gt; &lt;new&gt; is not permitted in Phase 1 (only Good -&gt; Closed).' — Good-&gt;Scrap is rejected.</t>
  </si>
  <si>
    <t>FDS-05-015  —  Status History      (FRS 3.16.4)</t>
  </si>
  <si>
    <t>Status history</t>
  </si>
  <si>
    <t>A LOT that has changed status</t>
  </si>
  <si>
    <t>Open the LOT detail / history</t>
  </si>
  <si>
    <t>Each transition shows old status, new status, reason, changed-by user, terminal, and timestamp in Eastern time</t>
  </si>
  <si>
    <t>[insp] needs live/witness: MANUAL. LotDetail HistoryRepeater binds Lot.getHistory -&gt; Lot_GetAttributeHistory (R__Lots_Lot_GetAttributeHistory.sql:90-103) which surfaces status transitions with old-&gt;new status code, reason, changed-by (ByUserName), and EventAt converted UTC-&gt;Eastern (:72). However the Status stream does NOT include the recording terminal (only the Movement stream does), so 5 of the 6 expected fields display. Human should judge whether terminal-in-status-row is required.</t>
  </si>
  <si>
    <t>FDS-07-015  —  Container Hold</t>
  </si>
  <si>
    <t>FAT-QH-060</t>
  </si>
  <si>
    <t>Container hold</t>
  </si>
  <si>
    <t>A container in Complete status</t>
  </si>
  <si>
    <t>Place a hold on the container from Hold Management</t>
  </si>
  <si>
    <t>Container status flips to HOLD and a HoldEvent is recorded</t>
  </si>
  <si>
    <t>AIM PlaceOnHold is a Gateway-async step | [insp] HoldManagement view place form accepts a Container Id and calls Quality.Hold.place(...containerId=). R__Quality_Hold_Place.sql:105-118 inserts HoldEvent and sets Lots.Container.ContainerStatusCodeId=4 (Hold).</t>
  </si>
  <si>
    <t>FAT-QH-070</t>
  </si>
  <si>
    <t>A held container</t>
  </si>
  <si>
    <t>Attempt to load/ship the held container at the Shipping Dock</t>
  </si>
  <si>
    <t>System refuses to ship a held container</t>
  </si>
  <si>
    <t>[insp] R__Lots_Container_Ship.sql:52-57 rejects ship when an open HoldEvent exists on the container: 'Container is on hold (cannot ship).'</t>
  </si>
  <si>
    <t>FDS-07-016  —  Container Hold Release</t>
  </si>
  <si>
    <t>Container hold release</t>
  </si>
  <si>
    <t>Release the container hold</t>
  </si>
  <si>
    <t>Container returns to its pre-hold status (Complete) and is eligible for shipping again</t>
  </si>
  <si>
    <t>AIM ReleaseFromHold is a Gateway-async step | [insp] R__Quality_Hold_Release.sql:110-111 restores container to its captured PriorContainerStatusCodeId (COALESCE fallback 2=Complete). A released container returns to Complete and Container_Ship's Complete+no-open-hold checks then allow shipping.</t>
  </si>
  <si>
    <t>FDS-08-001  —  Hold Placement      (FRS 3.16.10)</t>
  </si>
  <si>
    <t>FAT-QH-090</t>
  </si>
  <si>
    <t>Place LOT hold</t>
  </si>
  <si>
    <t>A Good LOT; Hold Management screen open</t>
  </si>
  <si>
    <t>Place a hold selecting a hold type and reason</t>
  </si>
  <si>
    <t>A HoldEvent records LOT, hold type, reason, placed-by user, and timestamp; LOT status transitions to Hold</t>
  </si>
  <si>
    <t>Hold types include Quality / Customer_Complaint / Precautionary | [insp] R__Quality_Hold_Place.sql:105-114 inserts HoldEvent (LotId, HoldTypeCodeId, Reason, PlacedByUserId, PlacedAt) and transitions Lot.LotStatusId-&gt;2 (Hold) with a LotStatusHistory row. HoldTypeCode + reason chosen in HoldManagement place form.</t>
  </si>
  <si>
    <t>FAT-QH-100</t>
  </si>
  <si>
    <t>A LOT already on an open hold</t>
  </si>
  <si>
    <t>Attempt to place a second hold on the same LOT</t>
  </si>
  <si>
    <t>System rejects — only one open hold per LOT is allowed</t>
  </si>
  <si>
    <t>[insp] R__Quality_Hold_Place.sql:67-74 rejects when an open hold already exists ('An open hold already exists on this LOT.'), backed by filtered unique index UX_HoldEvent_OneOpenPerLot (0029:44-45). One open hold per LOT enforced.</t>
  </si>
  <si>
    <t>FDS-08-002  —  Hold Effect      (FRS 3.16.10)</t>
  </si>
  <si>
    <t>Hold effect</t>
  </si>
  <si>
    <t>A LOT placed on Hold</t>
  </si>
  <si>
    <t>Attempt to consume or advance the held LOT at a workstation</t>
  </si>
  <si>
    <t>Operation is rejected with a clear message; the BlocksProduction guard prevents production against a held LOT</t>
  </si>
  <si>
    <t>Universal Lot_AssertNotBlocked guard | [insp] Advance/consume procs apply the inline B2 not-blocked guard (mirrors Lot_AssertNotBlocked): R__Lots_Lot_MoveTo.sql:80 and R__Workorder_MachiningIn_RecordPick.sql:73-82 reject when BlocksProduction=1 (held). Test 0028/097_Assembly_CompleteTray_skips_held_source confirms held source is skipped.</t>
  </si>
  <si>
    <t>FDS-08-003  —  Hold Release      (FRS 3.16.11)</t>
  </si>
  <si>
    <t>Hold release</t>
  </si>
  <si>
    <t>A LOT on Hold</t>
  </si>
  <si>
    <t>Release the hold with release remarks</t>
  </si>
  <si>
    <t>Hold records released-by user, released-at timestamp, and remarks; LOT status returns to its prior status (Good)</t>
  </si>
  <si>
    <t>[insp] R__Quality_Hold_Release.sql:69-71 sets ReleasedByUserId/ReleasedAt/ReleaseRemarks; :75-78 restores Lot.LotStatusId to the prior status recorded on the Hold transition (default Good=1) and writes a LotStatusHistory row.</t>
  </si>
  <si>
    <t>FDS-08-004  —  Hold Without NCM      (FRS 2.1.8)</t>
  </si>
  <si>
    <t>Hold without NCM</t>
  </si>
  <si>
    <t>A LOT to hold precautionarily</t>
  </si>
  <si>
    <t>Place a Precautionary hold with no non-conformance record</t>
  </si>
  <si>
    <t>Hold is accepted with no NCM required (NonConformanceId is nullable)</t>
  </si>
  <si>
    <t>[insp] Precautionary hold type exists (0030_holdtype_taxonomy_fds0801.sql:16). Hold_Place requires only HoldTypeCodeId + optional Reason — no NCM linkage. Note: HoldEvent (0029:23-41) has NO NonConformanceId column at all (NCM is FUTURE per FDS-08-018), so a hold-without-NCM is the only mode; workflow fully supported though the 'nullable NonConformanceId' phrasing does not map to an existing column.</t>
  </si>
  <si>
    <t>FDS-08-005  —  Partial Disposition via Split</t>
  </si>
  <si>
    <t>Partial disposition via in-place scrap (no split)</t>
  </si>
  <si>
    <t>A held LOT where only some parts are suspect</t>
  </si>
  <si>
    <t>Register scrap directly against the held LOT (defect code + reject qty) - no split, no hold release (per Jacques, overrides the original split-based step)</t>
  </si>
  <si>
    <t>A Workorder.RejectEvent row is written and the LOT PieceCount is decremented; the LOT stays on hold (not split, not closed), even when scrapped to zero</t>
  </si>
  <si>
    <t>[fixed 2026-08-07, Brief F] Scrap-in-place via Workorder.RejectEvent_Record @AllowHeldLot=1 (no split; direction per Jacques overrides the original FRS/FDS split step). Backend 83/83 green: RejectEvent written, PieceCount decremented, LOT stays HELD incl. scrap-to-zero; still rejects Scrap/Closed LOTs and qty&lt;=0. HoldManagement 'Scrap Held LOT' panel renders and is wired to RejectEvent.record(allowHeldLot=True); procs deployed to MPP_MES_Dev. Operator-typed UI submit is backed by the automated proc-path tests, not a live keystroke (browser automation cannot commit Perspective form inputs) - human spot-check recommended.</t>
  </si>
  <si>
    <t>FDS-08-006  —  Bulk Hold      (FRS 3.16.10)</t>
  </si>
  <si>
    <t>Bulk hold</t>
  </si>
  <si>
    <t>Multiple candidate LOTs exist</t>
  </si>
  <si>
    <t>Search by criteria (part number, die, cavity, date range, location) and place a hold on several LOTs at once</t>
  </si>
  <si>
    <t>Each selected LOT receives its own HoldEvent and transitions to Hold in a single action</t>
  </si>
  <si>
    <t>[insp] HoldManagement Bulk Hold: searches via Lot.search, multi-selects into bulkSelectedLotIds, and calls Hold.placeBulk. Quality/Hold/code.py placeBulk loops place() per LOT so each selected LOT gets its own Hold_Place -&gt; own HoldEvent + Hold transition in one action. Note: search is a single-query string (Lot_Search); the richer facet set (die/cavity/date-range/location) should be witnessed live.</t>
  </si>
  <si>
    <t>FDS-08-007  —  Container Hold Integration</t>
  </si>
  <si>
    <t>Container hold integration</t>
  </si>
  <si>
    <t>A LOT that is the source of a completed container</t>
  </si>
  <si>
    <t>Place a hold on that source LOT</t>
  </si>
  <si>
    <t>System alerts that associated containers exist and may also need to be held</t>
  </si>
  <si>
    <t>[fixed 2026-08-07, Brief F] Hold_Place now looks up associated containers (Quality.Hold_ListAssociatedContainers); HoldManagement renders the 'Associated containers - review for hold' advisory on hold placement. Backend 83/83 green (tray/serialized/none/dedup paths). View renders the advisory panel; procs deployed to MPP_MES_Dev. FDS-08-007 SHOULD satisfied. Operator-typed UI submit backed by proc-path tests (browser cannot commit form inputs) - human spot-check recommended.</t>
  </si>
  <si>
    <t>FDS-08-011  —  Inspection Recording</t>
  </si>
  <si>
    <t>FAT-QH-180</t>
  </si>
  <si>
    <t>Inspection recording</t>
  </si>
  <si>
    <t>Inspection Entry screen; an item with a published quality spec</t>
  </si>
  <si>
    <t>Scan/resolve a LOT</t>
  </si>
  <si>
    <t>The active published QualitySpec loads and its attributes render as an input repeater</t>
  </si>
  <si>
    <t>Standalone InspectionEntry view | [insp] InspectionEntry view.custom.spec binds runScript QualitySpec.getActiveVersionForItemOrEmpty(lot.ItemId) (view.json:48-55); AttrRepeater (ia.display.flex-repeater) iterates view.custom.spec.attributes -&gt; Quality/AttributeRow (:580-616). Active published spec loads and attributes render as an input repeater; NoSpecHint shown when none published.</t>
  </si>
  <si>
    <t>FAT-QH-190</t>
  </si>
  <si>
    <t>Attribute form rendered for a LOT</t>
  </si>
  <si>
    <t>Enter measured values and record the sample</t>
  </si>
  <si>
    <t>A QualitySample header plus one QualityResult per attribute is written; overall Pass/Fail is auto-computed from limits and audited</t>
  </si>
  <si>
    <t>[insp] R__Quality_QualitySample_Record.sql:267-280 inserts one QualitySample header + one QualityResult per attribute; :255-260 auto-computes overall Pass/Fail (Fail if any required attr IsPass=0); :308-318 audits InspectionRecorded. RECORD INSPECTION button -&gt; recordFromEntries.</t>
  </si>
  <si>
    <t>FAT-QH-200</t>
  </si>
  <si>
    <t>Record an inspection against the held LOT</t>
  </si>
  <si>
    <t>Inspection is allowed against a LOT in any status including Hold</t>
  </si>
  <si>
    <t>[insp] R__Quality_QualitySample_Record.sql:101 comment + logic: 'LOT exists (ANY status -- inspection of held lots is allowed)'. No BlocksProduction/AssertNotBlocked guard in the proc; InspectionEntry.resolveLot loads any LOT without a status gate. Inspection permitted against Hold/Closed/etc.</t>
  </si>
  <si>
    <t>FDS-08-012  —  Failed Inspection Handling</t>
  </si>
  <si>
    <t>FAT-QH-210</t>
  </si>
  <si>
    <t>Failed inspection handling</t>
  </si>
  <si>
    <t>A LOT whose measured value is out of limits</t>
  </si>
  <si>
    <t>Record the inspection</t>
  </si>
  <si>
    <t>Overall result is Fail and the inspector is alerted; the system does NOT automatically place a hold</t>
  </si>
  <si>
    <t>Human judgment preserved | [insp] Out-of-limits required attr -&gt; overall Fail (QualitySample_Record.sql:255-258); NO auto-hold (:322 'NO AUTO-HOLD (FDS-08-012)'). InspectionEntry record() raises a warning toast 'Inspection FAILED - place a Hold to block check-out' on Fail, and never places a hold automatically.</t>
  </si>
  <si>
    <t>FAT-QH-220</t>
  </si>
  <si>
    <t>A just-recorded Fail result</t>
  </si>
  <si>
    <t>Use the one-tap Place Hold affordance</t>
  </si>
  <si>
    <t>A Quality hold is placed on the LOT from the inspection screen</t>
  </si>
  <si>
    <t>BRA affordance on InspectionEntry | [insp] InspectionEntry PLACE HOLD button -&gt; placeHold() calls Quality.Hold.place(1=Quality hold, lotId, reason='Failed incoming inspection') from the inspection screen. One-tap quality hold on the just-inspected LOT.</t>
  </si>
  <si>
    <t>FDS-08-013  —  Quality Attachments</t>
  </si>
  <si>
    <t>Quality attachments</t>
  </si>
  <si>
    <t>A recorded quality sample</t>
  </si>
  <si>
    <t>Attach a file (PDF/PNG/XLSX/CSV) to the sample</t>
  </si>
  <si>
    <t>Attachment metadata (file name, type, path, uploaded-at, uploaded-by) is stored in QualityAttachment</t>
  </si>
  <si>
    <t>Backend built (QualityAttachment_Add/ListBySample procs + NQs + entity script); capture UI limited — no file-upload component wired into InspectionEntry yet | [insp] R__Quality_QualityAttachment_Add.sql:87-92 inserts QualityAttachment (FileName, FileType, FilePath, UploadedAt, UploadedByUserId) linked to QualitySampleId. Metadata (name/type/path/uploaded-at/uploaded-by) stored as expected.</t>
  </si>
  <si>
    <t>FDS-08-014  —  Sample Triggers   [CONDITIONAL]</t>
  </si>
  <si>
    <t>Sample triggers</t>
  </si>
  <si>
    <t>Inspection Entry screen</t>
  </si>
  <si>
    <t>Select a sample trigger (SHIFT_START / DIE_CHANGE / TOOL_CHANGE / etc.) when recording</t>
  </si>
  <si>
    <t>The chosen trigger is captured on the QualitySample record</t>
  </si>
  <si>
    <t>CONDITIONAL — sampling workflows | [insp] R__Quality_QualitySample_Record.sql accepts @SampleTriggerCodeId (validated :143-153 against Quality.SampleTriggerCode) and persists it on the QualitySample header (:268). InspectionEntry captures triggerCodeId. CONDITIONAL scope but implemented.</t>
  </si>
  <si>
    <t>FDS-08-015  —  Sample Results as Representative      (FRS 2.1.9)   [CONDITIONAL]</t>
  </si>
  <si>
    <t>Representative sample</t>
  </si>
  <si>
    <t>A LOT inspected with a passing sample</t>
  </si>
  <si>
    <t>Review the LOT after a passing then a failing sample</t>
  </si>
  <si>
    <t>A passing sample represents the whole LOT and it continues; a failing sample flags the LOT for quality review (no auto-hold)</t>
  </si>
  <si>
    <t>CONDITIONAL — sampling workflows | [insp] needs live/witness: MANUAL. Concrete pieces are evidenced: sample yields overall Pass/Fail and there is NO auto-hold on Fail (QualitySample_Record.sql:255-258, :322). But the representative-sample semantics ('a passing sample represents the whole LOT and it continues; a failing sample flags for quality review') are behavioral/CONDITIONAL with no distinct coded gating beyond the sample result — needs a witnessed run to confirm continuation vs review-flagging behavior.</t>
  </si>
  <si>
    <t>FDS-08-018  —  NCM Scope Boundary   [FUTURE]</t>
  </si>
  <si>
    <t>FAT-QH-110</t>
  </si>
  <si>
    <t>Hold elevation gate</t>
  </si>
  <si>
    <t>Attempt to place or release a hold</t>
  </si>
  <si>
    <t>Action requires AD elevation before it proceeds</t>
  </si>
  <si>
    <t>FDS-04-007 per-action elevation for Place/Release | [insp] needs live/witness: MANUAL. FDS-08-018 is [FUTURE]. HoldManagement labels holds an 'AD-elevated action', but the place/release scripts call Hold.place/Hold.release directly with no AD elevation step wired — the elevation gate is not implemented. FUTURE scope + no enforcement present; needs product decision, not a build check.</t>
  </si>
  <si>
    <t>FDS-05-007  —  Movement Tracking      (FRS 3.9.8)</t>
  </si>
  <si>
    <t>FAT-MOVE-010</t>
  </si>
  <si>
    <t>Movement tracking</t>
  </si>
  <si>
    <t>A Good LOT at a known location</t>
  </si>
  <si>
    <t>Move the LOT to a new location</t>
  </si>
  <si>
    <t>An immutable LotMovement row records LOT, from-location, to-location, moved-by user, terminal, and timestamp; CurrentLocationId is updated</t>
  </si>
  <si>
    <t>[insp] R__Lots_Lot_MoveTo.sql:138-145 updates Lots.Lot.CurrentLocationId then inserts an append-only Lots.LotMovement row with LotId, FromLocationId, ToLocationId, MovedByUserId, TerminalLocationId, MovedAt; audits 'LotMoved'.</t>
  </si>
  <si>
    <t>FAT-MOVE-020</t>
  </si>
  <si>
    <t>A LOT that has been moved</t>
  </si>
  <si>
    <t>Open the LOT history</t>
  </si>
  <si>
    <t>The movement appears in the LOT history with the timestamp in Eastern time</t>
  </si>
  <si>
    <t>[insp] R__Lots_Lot_GetAttributeHistory.sql unions Lots.LotMovement as EventKind='Movement' (lines 111-117) and converts EventAt UTC-&gt;Eastern at the boundary (line 72, AT TIME ZONE 'UTC' AT TIME ZONE 'Eastern Standard Time').</t>
  </si>
  <si>
    <t>FDS-05-008  —  Movement Workflow</t>
  </si>
  <si>
    <t>FAT-MOVE-030</t>
  </si>
  <si>
    <t>Movement workflow</t>
  </si>
  <si>
    <t>A dedicated terminal with an operator presence established</t>
  </si>
  <si>
    <t>Scan a LOT on the Movement Scan screen and record the move</t>
  </si>
  <si>
    <t>Destination defaults to the terminal's parent location (read-only); LOT is looked up by LTT, validated not Closed, and the move is recorded and confirmed</t>
  </si>
  <si>
    <t>[insp] MovementScan/view.json: destination is input-only params.destinationLocationId (no editable field = read-only, host sets zone parent); applyScan looks LOT up by LTT via getByName(code); commitMove calls moveToValidated which rejects Closed via the B2 not-blocked guard; result surfaced via notifyResult + reply message.</t>
  </si>
  <si>
    <t>FAT-MOVE-040</t>
  </si>
  <si>
    <t>Movement validation</t>
  </si>
  <si>
    <t>A LOT whose item is not eligible at the chosen destination</t>
  </si>
  <si>
    <t>Attempt the validated move</t>
  </si>
  <si>
    <t>System rejects the move — the item must resolve at the destination (or an ancestor tier)</t>
  </si>
  <si>
    <t>Already-at-this-location is pre-checked and the Move action is disabled | [insp] R__Lots_Lot_MoveToValidated.sql:131-147 rejects when the Item does not resolve in Parts.v_EffectiveItemLocation at the destination or any ancestor tier (Location.ufn_AncestorLocationIds walk): 'Item is not eligible at the destination location.'</t>
  </si>
  <si>
    <t>FAT-MOVE-050</t>
  </si>
  <si>
    <t>Forward-only move guard</t>
  </si>
  <si>
    <t>A LOT that has already advanced past an operation step</t>
  </si>
  <si>
    <t>Attempt to move it back to that earlier operation</t>
  </si>
  <si>
    <t>Backward move is blocked with a message; a supervisor-override affordance permits it when authorized</t>
  </si>
  <si>
    <t>Operation-aware forward-only guard | [insp] R__Lots_Lot_MoveToValidated.sql:149-197 forward-only route guard blocks a backward move (attempted step SequenceNumber &lt; next-pending) with a message; @OverrideAppUserId bypasses it. MovementScan view routes the block to the MoveOverride popup + elevation check; test 031_MoveToValidated_forward_only.sql exists.</t>
  </si>
  <si>
    <t>FAT-MOVE-060</t>
  </si>
  <si>
    <t>A LOT on Hold or Closed</t>
  </si>
  <si>
    <t>Attempt to move the LOT</t>
  </si>
  <si>
    <t>System refuses to move a blocked or closed LOT</t>
  </si>
  <si>
    <t>[insp] R__Lots_Lot_MoveToValidated.sql:94-104 (and R__Lots_Lot_MoveTo.sql:81-91) reject when BlocksProduction=1 or status='Closed': 'LOT is ... and cannot be moved.'</t>
  </si>
  <si>
    <t>FDS-05-037  —  LOT Close Semantics</t>
  </si>
  <si>
    <t>FAT-MOVE-070</t>
  </si>
  <si>
    <t>Complete and move</t>
  </si>
  <si>
    <t>A component LOT (Die Cast / Trim / intermediate Machining) ready to advance</t>
  </si>
  <si>
    <t>Use the combined Complete + Move action</t>
  </si>
  <si>
    <t>Status transition and movement happen in one atomic action; a partial basket is only Closed when the operator closes it</t>
  </si>
  <si>
    <t>[insp] R__Workorder_TrimOut_Record.sql inlines the closing ProductionEvent checkpoint + whole-LOT move inside one transaction (CATCH-only rollback, lines 40-47); the parent LOT stays whole and OPEN (no auto-close/split) so a partial basket is only closed on an explicit operator close, consistent with FDS-05-037.</t>
  </si>
  <si>
    <t>FAT-MOVE-080</t>
  </si>
  <si>
    <t>Finished-goods close</t>
  </si>
  <si>
    <t>An assembly finished-goods LOT filling a shipping container</t>
  </si>
  <si>
    <t>The associated finished-goods LOT auto-closes as part of the Container Complete transaction</t>
  </si>
  <si>
    <t>[insp] Lots.Container_Complete auto-closes every linked Good finished-good LOT as part of the completion transaction; test 0029/.../090_FinishedGoodClose_OnComplete.sql asserts both FG LOTs transition Good(1)-&gt;Closed(4) after Container_Complete (R__Lots_Container_Complete.sql present).</t>
  </si>
  <si>
    <t>FDS-05-032  —  Partial Start and Partial Complete</t>
  </si>
  <si>
    <t>FAT-MOVE-090</t>
  </si>
  <si>
    <t>Partial start and complete</t>
  </si>
  <si>
    <t>A LOT started with N pieces at a workstation</t>
  </si>
  <si>
    <t>Complete a partial quantity M (M less than or equal to N) later</t>
  </si>
  <si>
    <t>Start and Complete are independent operations with independent quantities, valid across shift boundaries</t>
  </si>
  <si>
    <t>Verify at MVP: current build records checkpoint/flexible-operator quantities on the FIFO consume path rather than separate Start/Complete fields — confirm against this requirement | [insp] needs live/witness: LIVE - Start/Complete independence with independent quantities valid across shift boundaries is a production-event runtime behavior; needs a witnessed live run of ProductionEvent Start/Complete across shifts, not certifiable from static procs.</t>
  </si>
  <si>
    <t>FAT-MOVE-100</t>
  </si>
  <si>
    <t>Start/Complete/Scrap events recorded for a LOT</t>
  </si>
  <si>
    <t>Review the derived in-process quantity</t>
  </si>
  <si>
    <t>In-process quantity is derived by event replay rather than a running atomic counter</t>
  </si>
  <si>
    <t>[insp] needs live/witness: MANUAL - Lots.v_LotDerivedQuantities (0020 sec B, lines 657-676) derives quantities from ConsumptionEvent, but Lots.Lot also carries materialized TotalInProcess/InventoryAvailable columns (B5 materialized qty). Mixed design; judgment needed on whether it qualifies as pure event-replay vs a running counter.</t>
  </si>
  <si>
    <t>FDS-05-038  —  Pausable LOT at Workstation</t>
  </si>
  <si>
    <t>FAT-MOVE-110</t>
  </si>
  <si>
    <t>Pause LOT</t>
  </si>
  <si>
    <t>A partially-progressed LOT at a Cell</t>
  </si>
  <si>
    <t>Pause the LOT to work another LOT at the same Cell</t>
  </si>
  <si>
    <t>An open PauseEvent is written; the paused LOT keeps its partial state and the operator can run other LOTs at that Cell</t>
  </si>
  <si>
    <t>Pause is orthogonal to LOT status — no Paused status row | [insp] R__Lots_LotPause_Place.sql inserts an open Lots.PauseEvent (ResumedAt NULL, lines 139-140) without altering LOT status/piece count (partial state preserved); B2 guard + validation precede it.</t>
  </si>
  <si>
    <t>FAT-MOVE-120</t>
  </si>
  <si>
    <t>Resume paused LOT</t>
  </si>
  <si>
    <t>A Cell with one or more open pauses</t>
  </si>
  <si>
    <t>Tap the Paused-LOT indicator and resume a LOT from the list</t>
  </si>
  <si>
    <t>Indicator shows the open-pause count; selecting and confirming resumes via LotPause_Resume and records ResumedByUserId (may differ from the pauser)</t>
  </si>
  <si>
    <t>No auto-prompt to resume; no TTL | [insp] R__Lots_LotPause_Resume.sql sets ResumedByUserId=@AppUserId/ResumedAt (lines 104-108) and its header states the resumer MAY differ from the pauser; open-pause count available via R__Lots_LotPause_GetCountsByLocation.sql. (Indicator tap is UI but both procs exist.)</t>
  </si>
  <si>
    <t>FAT-MOVE-130</t>
  </si>
  <si>
    <t>Pause guards</t>
  </si>
  <si>
    <t>A blocked LOT and a LOT already paused at a Cell</t>
  </si>
  <si>
    <t>Attempt to pause a held/closed LOT and to open a second pause at the same Cell</t>
  </si>
  <si>
    <t>Blocked/closed LOT cannot be paused; at most one open pause per (LOT, location) is enforced</t>
  </si>
  <si>
    <t>[insp] R__Lots_LotPause_Place.sql:96-106 rejects a blocked/Closed LOT from being paused; lines 109-120 enforce at most one open pause per (LotId, LocationId) via an explicit pre-check backed by UQ_PauseEvent_OpenLotLocation.</t>
  </si>
  <si>
    <t>FDS-07-013  —  Shipping Validation</t>
  </si>
  <si>
    <t>FAT-MOVE-140</t>
  </si>
  <si>
    <t>Shipping validation</t>
  </si>
  <si>
    <t>A container with a shipping label at the Shipping Dock</t>
  </si>
  <si>
    <t>Scan the container's shipping label</t>
  </si>
  <si>
    <t>System validates the container is Complete (not Hold/Void/already Shipped) and the label is not void before loading</t>
  </si>
  <si>
    <t>[insp] ShippingDock/view.json scans the shipping label and ShipButton calls Shipping.ship -&gt; R__Lots_Container_Ship.sql:39-57 validates label not void, container Complete(2) (already-Shipped=3 is excluded by the not-Complete check), and no open hold before shipping.</t>
  </si>
  <si>
    <t>FAT-MOVE-150</t>
  </si>
  <si>
    <t>A container that is on hold / void / not Complete</t>
  </si>
  <si>
    <t>Scan the label at the dock</t>
  </si>
  <si>
    <t>System prevents loading and displays the reason</t>
  </si>
  <si>
    <t>[insp] R__Lots_Container_Ship.sql returns @Status=0 with the specific reason on hold/void/not-Complete; ShippingDock/view.json binds view.custom.lastResult.Message ('Not shipped' + reason), so loading is prevented and the reason is shown.</t>
  </si>
  <si>
    <t>FDS-07-014  —  Ship Confirmation</t>
  </si>
  <si>
    <t>Ship confirmation</t>
  </si>
  <si>
    <t>A valid Complete container with a non-void label</t>
  </si>
  <si>
    <t>Confirm the ship</t>
  </si>
  <si>
    <t>Container status flips to Shipped, it moves to the shipping-out location, and the event is logged to Audit.OperationLog</t>
  </si>
  <si>
    <t>Container has no source LotId — traceability is the container's own location move + ContainerShipped audit, not a per-LOT LotMovement | [insp] R__Lots_Container_Ship.sql:59-77 flips ContainerStatusCodeId-&gt;3 (Shipped), moves CurrentLocationId to SHIPOUT, and logs 'ContainerShipped' via Audit.Audit_LogOperation (Container entity routes to Audit.OperationLog per B7).</t>
  </si>
  <si>
    <t>FDS-07-017  —  Sort Cage Workflow      (FRS 2.1.10, 2.2.7)</t>
  </si>
  <si>
    <t>FAT-MOVE-170</t>
  </si>
  <si>
    <t>Sort cage re-pack</t>
  </si>
  <si>
    <t>A held container of serialized parts sent to the Sort Cage</t>
  </si>
  <si>
    <t>Unpack and re-pack a good serialized part into a new open container</t>
  </si>
  <si>
    <t>ContainerSerial is updated to the new container/tray position (SortCage_MigrateSerial); the destination container must be Open</t>
  </si>
  <si>
    <t>MVP-EXPANDED | [insp] R__Lots_SortCage_MigrateSerial.sql:76-78 updates Lots.ContainerSerial.ContainerId/TrayPosition to the new container/tray; lines 59-64 reject unless the destination container ContainerStatusCodeId=1 (Open).</t>
  </si>
  <si>
    <t>FAT-MOVE-180</t>
  </si>
  <si>
    <t>Sort cage audit trail</t>
  </si>
  <si>
    <t>A serial migrated at the Sort Cage</t>
  </si>
  <si>
    <t>Review the migration record</t>
  </si>
  <si>
    <t>A ContainerSerialHistory row captures old/new container and tray position, migration reason, and migrated-by user</t>
  </si>
  <si>
    <t>[insp] R__Lots_SortCage_MigrateSerial.sql:70-73 inserts a Lots.ContainerSerialHistory row capturing OldContainerId/NewContainerId, OldTrayPosition/NewTrayPosition, MigrationReasonCode, and MigratedByUserId.</t>
  </si>
  <si>
    <t>FAT-MOVE-190</t>
  </si>
  <si>
    <t>Sort cage label/AIM side-effects</t>
  </si>
  <si>
    <t>A re-sort producing new LOTs and re-packed containers</t>
  </si>
  <si>
    <t>Verify the downstream label and AIM steps fire</t>
  </si>
  <si>
    <t>New LTT labels (reason SORT_CAGE), new shipping labels, voiding of old labels, and AIM UpdateAim for serial migrations occur</t>
  </si>
  <si>
    <t>Commissioning/partially-unwired: confirm which side-effects (new-LTT/label print, old-label void, AIM UpdateAim) are actually wired — the migrate-serial proc updates ContainerSerial only; label + AIM fan-out may be commissioning-time | [insp] needs live/witness: LIVE - SortCage_MigrateSerial only migrates the serial + writes history; the downstream new-LTT (reason SORT_CAGE) / new-shipping-label / void-old-label / AIM UpdateAim side-effects are gateway/integration orchestration (FDS-07-017) not present as one proc and need a witnessed run.</t>
  </si>
  <si>
    <t>FDS-07-018  —  Sort Cage Scope Boundary</t>
  </si>
  <si>
    <t>Sort cage scope boundary</t>
  </si>
  <si>
    <t>A Sort Cage disposition</t>
  </si>
  <si>
    <t>Disposition good vs bad parts</t>
  </si>
  <si>
    <t>Disposition uses holds, splits, scrap, and re-pack; no formal NCM disposition codes or rework routing are surfaced (FUTURE)</t>
  </si>
  <si>
    <t>[insp] needs live/witness: MANUAL - disposition tools exist (Hold_Place, Lot_Split, split-to-scrap, SortCage_MigrateSerial re-pack) and FDS-07-018 documents NCM codes/rework routing as FUTURE, but confirming that no NCM/rework affordance is surfaced is an absence claim requiring UI review.</t>
  </si>
  <si>
    <t>FDS-07-019  —  Sort Cage Is Not a LOT Merge Event</t>
  </si>
  <si>
    <t>FAT-MOVE-210</t>
  </si>
  <si>
    <t>Sort cage is not a merge</t>
  </si>
  <si>
    <t>A serialized part migrated from a held container into a new container</t>
  </si>
  <si>
    <t>Inspect genealogy after the migration</t>
  </si>
  <si>
    <t>No LotGenealogy merge record is created; SerializedPart.LotId still points to the original source LOT (traceability preserved through the serial)</t>
  </si>
  <si>
    <t>[insp] R__Lots_SortCage_MigrateSerial.sql writes only ContainerSerialHistory + updates ContainerSerial container membership; it never touches SerializedPart.LotId and creates no LotGenealogy row (no merge). FDS-07-019 (MPP_MES_FDS.md:1804-1811) confirms Sort Cage is not a merge and traceability lives in SerializedPart.</t>
  </si>
  <si>
    <t>FAT-MOVE-220</t>
  </si>
  <si>
    <t>Sort cage scrap disposition</t>
  </si>
  <si>
    <t>A defective part identified during Sort Cage inspection</t>
  </si>
  <si>
    <t>Disposition the defective part</t>
  </si>
  <si>
    <t>Scrap follows the split-to-scrap workflow (a Split genealogy record), never a Merge record</t>
  </si>
  <si>
    <t>[insp] R__Lots_Lot_Split.sql inserts a LotGenealogy Split edge (header lines 59-60) for same-part divisions; FDS-07-019 (MPP_MES_FDS.md:1808) specifies Sort Cage scrap follows Pattern B split-to-scrap creating a Split record, never a Merge.</t>
  </si>
  <si>
    <t>FDS-09-001  —  Manual Downtime Entry      (FRS 3.15.1)</t>
  </si>
  <si>
    <t>FAT-SHIFT-010</t>
  </si>
  <si>
    <t>Manual downtime entry</t>
  </si>
  <si>
    <t>Terminal assigned to a Cell/machine; Downtime Manager reachable from the plant-floor header</t>
  </si>
  <si>
    <t>Open the Downtime Manager and start a new manual downtime event</t>
  </si>
  <si>
    <t>A downtime event opens with the machine auto-populated from the terminal location; reason code, start time, and remarks are captured</t>
  </si>
  <si>
    <t>[insp] DowntimeManager 'Start Downtime' button resolves scope from the terminal cell (session.custom.cell -&gt; BlueRidge.Oee.Downtime.resolveScope) and calls Oee.DowntimeEvent_Start (R__Oee_DowntimeEvent_Start.sql), which opens an event with machine auto-populated from the location and StartedAt=SYSUTCDATETIME(); reason is late-bound and remarks captured via the reason dropdown / editor.</t>
  </si>
  <si>
    <t>FAT-SHIFT-020</t>
  </si>
  <si>
    <t>An open downtime event exists on this machine</t>
  </si>
  <si>
    <t>End the open event when the machine resumes</t>
  </si>
  <si>
    <t>Event is closed (EndedAt set); duration is computed; the event is stamped with the operator</t>
  </si>
  <si>
    <t>[insp] Oee.DowntimeEvent_End (R__Oee_DowntimeEvent_End.sql:82-87) sets EndedAt=@Now, computes DurationMinutes=DATEDIFF, and stamps AppUserId=COALESCE(AppUserId,@AppUserId); rejects an already-closed event. Wired via DowntimeManager dtEndRequested handler.</t>
  </si>
  <si>
    <t>FAT-SHIFT-030</t>
  </si>
  <si>
    <t>Add a past downtime event</t>
  </si>
  <si>
    <t>Downtime Manager open</t>
  </si>
  <si>
    <t>Use Add-Past to record a fully-elapsed downtime event with start and end in the past</t>
  </si>
  <si>
    <t>A closed historical event is recorded and shift-stamped; it appears in the terminal's event list</t>
  </si>
  <si>
    <t>BRA affordance (DowntimeEvent_RecordHistorical) | [insp] 'Add Past Event' opens DowntimeEditor (create mode) -&gt; Oee.DowntimeEvent_RecordHistorical (R__Oee_DowntimeEvent_RecordHistorical.sql) inserts a CLOSED event with DurationMinutes set and ShiftId = shift covering the start; DowntimeEvent_GetByScope returns it in the terminal event list.</t>
  </si>
  <si>
    <t>FDS-09-003  —  Open Downtime Events</t>
  </si>
  <si>
    <t>Open downtime visibility</t>
  </si>
  <si>
    <t>A machine with an active (unended) downtime event</t>
  </si>
  <si>
    <t>View the machine's production screen / plant-floor header</t>
  </si>
  <si>
    <t>The open event is shown prominently (line-down indicator); open events remain visible until closed</t>
  </si>
  <si>
    <t>[insp] AppHeader view LineDownPill (AppHeader/view.json:175-186) has meta.visible='{openCount}&gt;0' and text '● LINE DOWN · N', driven by Oee.Downtime.getByScope open events; remains visible until events close.</t>
  </si>
  <si>
    <t>FDS-09-004  —  Downtime Event Immutability</t>
  </si>
  <si>
    <t>FAT-SHIFT-080</t>
  </si>
  <si>
    <t>Downtime void</t>
  </si>
  <si>
    <t>An erroneous downtime event</t>
  </si>
  <si>
    <t>Void the event from the Downtime Manager</t>
  </si>
  <si>
    <t>Event is soft-voided (append-only, no hard delete): marked voided with reason/user, closed if still open, excluded from rollups but still visible</t>
  </si>
  <si>
    <t>BRA — soft void, double-void rejected | [insp] Oee.DowntimeEvent_Void (R__Oee_DowntimeEvent_Void.sql) soft-voids: sets VoidedAt/VoidedByUserId/VoidReason, closes if still open (EndedAt=COALESCE), rejects double-void, remains visible (IsVoided=1 in GetByScope) and excluded from rollups. No hard delete.</t>
  </si>
  <si>
    <t>FDS-09-005  —  Downtime Reason Code Filtering</t>
  </si>
  <si>
    <t>Reason-code filtering</t>
  </si>
  <si>
    <t>Downtime Manager open on a machine in a known area</t>
  </si>
  <si>
    <t>Select a reason type then pick a specific code</t>
  </si>
  <si>
    <t>Reason codes are filtered by the machine's area and by reason type; operator selects the type first, then the code within it</t>
  </si>
  <si>
    <t>Types: Equipment, Mold, Quality, Setup, Miscellaneous, Unscheduled | [insp] Oee.DowntimeReasonCode_List v2.1 (R__Oee_DowntimeReasonCode_List.sql) scopes reason codes by the machine's OperationCategory (area) plus plant-wide NULL codes, and supports @DowntimeReasonTypeId filtering; DowntimeEditor binds getForDropdown(operationCategoryCode) off the terminal's category. FDS-09-005 area+type filtering is implemented in SQL.</t>
  </si>
  <si>
    <t>FDS-09-009  —  Shift Instances, Event-Derived Runtime</t>
  </si>
  <si>
    <t>Shift instances event-derived</t>
  </si>
  <si>
    <t>A shift schedule active for the line</t>
  </si>
  <si>
    <t>Start and end a shift via events</t>
  </si>
  <si>
    <t>Shift instances are event-derived at runtime (Shift_Start / Shift_End, toggle-per-break); no pre-computed minutes; the reconcile ticker snaps boundaries to schedule</t>
  </si>
  <si>
    <t>[insp] Shift instances are event-derived (Oee.Shift_Start / Shift_End) and reconciled at runtime by Oee.Shift_Reconcile (R__Oee_Shift_Reconcile.sql): snaps the open shift's ragged start to the scheduled boundary (A), closes stale (B), backfills (C), opens active (D); no pre-computed minutes stored. Break toggles handled by EndOfShiftEntry.</t>
  </si>
  <si>
    <t>FDS-09-010  —  Shift-Downtime Association</t>
  </si>
  <si>
    <t>FAT-SHIFT-100</t>
  </si>
  <si>
    <t>Shift-downtime association</t>
  </si>
  <si>
    <t>A downtime event started within a shift window</t>
  </si>
  <si>
    <t>Inspect the event's shift association</t>
  </si>
  <si>
    <t>Event is associated with the shift instance in which it started (ShiftId FK)</t>
  </si>
  <si>
    <t>[insp] Oee.DowntimeEvent_Start (R__Oee_DowntimeEvent_Start.sql:96,115) resolves the active shift (TOP 1 WHERE ActualEnd IS NULL) and writes it as the event's ShiftId FK on insert.</t>
  </si>
  <si>
    <t>FAT-SHIFT-110</t>
  </si>
  <si>
    <t>Shift-boundary handling</t>
  </si>
  <si>
    <t>A downtime event still open at a shift boundary</t>
  </si>
  <si>
    <t>Cross the shift boundary without resuming the machine</t>
  </si>
  <si>
    <t>Event is not auto-split; it stays associated with the shift it started in and remains open until the incoming operator closes it</t>
  </si>
  <si>
    <t>[insp] Test 0026/070_OpenEvents_span_boundary.sql asserts Oee.Shift_End closes the shift but leaves the open DowntimeEvent untouched (EndedAt still NULL); no auto-split, event keeps its originating ShiftId until the incoming operator closes it (UJ-10/OI-03).</t>
  </si>
  <si>
    <t>FDS-09-013  —  End-of-Shift Time Entry      (FRS 3.15.2)</t>
  </si>
  <si>
    <t>FAT-SHIFT-120</t>
  </si>
  <si>
    <t>End-of-shift time entry</t>
  </si>
  <si>
    <t>Logged in on a dedicated-flavor terminal near scheduled shift end</t>
  </si>
  <si>
    <t>Open the shift end-time-entry control and toggle the breaks taken</t>
  </si>
  <si>
    <t>A toggle button appears per scheduled break; tapping selects/deselects with no numeric duration entry; the control is visible only ~15 min before through ~15 min after scheduled shift end</t>
  </si>
  <si>
    <t>[insp] needs live/witness: LIVE - The break-toggle UI exists (EndOfShiftEntry view break items filtered to reason-type 'Break' + BreakToggle component, no numeric duration field), but the '~15 min before through ~15 min after scheduled shift end' visibility window is not evidenced in the view and requires live timing to verify.</t>
  </si>
  <si>
    <t>FAT-SHIFT-130</t>
  </si>
  <si>
    <t>Break buttons toggled</t>
  </si>
  <si>
    <t>Submit the end-of-shift entry</t>
  </si>
  <si>
    <t>One closed DowntimeEvent is written per selected break with duration resolved from the schedule (not operator-entered); one submission per operator per shift (re-submit rejected)</t>
  </si>
  <si>
    <t>[insp] Oee.EndOfShiftEntry_Submit (R__Oee_EndOfShiftEntry_Submit.sql) writes one CLOSED DowntimeEvent per selected break with EndedAt=DATEADD(rc.StandardDurationMinutes) (duration from the code, not operator-entered), and rejects a second submission per operator per shift.</t>
  </si>
  <si>
    <t>FAT-SHIFT-140</t>
  </si>
  <si>
    <t>End-of-shift time entry (shared flavor / zero breaks)</t>
  </si>
  <si>
    <t>Shared-flavor terminal at shift end</t>
  </si>
  <si>
    <t>Enter initials and submit with no breaks selected</t>
  </si>
  <si>
    <t>Initials resolve to an AppUser and stamp the submission; selecting zero breaks is valid — no DowntimeEvent rows written but the shift-end acknowledgement is still recorded</t>
  </si>
  <si>
    <t>[insp] Oee.EndOfShiftEntry_Submit accepts an empty break selection (@Sel empty -&gt; 0 rows inserted) yet still COMMITs and writes the EndOfShiftSubmitted audit (the acknowledgement). @AppUserId is the initials-resolved user stamped on the submission. Zero breaks is valid.</t>
  </si>
  <si>
    <t>FDS-09-014  —  Early-Start Behaviour</t>
  </si>
  <si>
    <t>FAT-SHIFT-150</t>
  </si>
  <si>
    <t>Early-start behaviour</t>
  </si>
  <si>
    <t>Production recorded before the scheduled shift start</t>
  </si>
  <si>
    <t>Record a production event with a timestamp earlier than scheduled start</t>
  </si>
  <si>
    <t>Event is accepted without rejection; the availability window expands backward to the earliest event</t>
  </si>
  <si>
    <t>[insp] needs live/witness: DATA - Early-start acceptance and backward availability-window expansion is an OEE availability computation over runtime production events; no proc found that either rejects or expands the window, and it needs runtime data to witness.</t>
  </si>
  <si>
    <t>FAT-SHIFT-160</t>
  </si>
  <si>
    <t>Shift-not-run auditability</t>
  </si>
  <si>
    <t>A scheduled shift with zero production events across its whole window</t>
  </si>
  <si>
    <t>Advance past the scheduled window and inspect the shift</t>
  </si>
  <si>
    <t>An Oee.Shift instance is still created and reports as zero-run for auditability</t>
  </si>
  <si>
    <t>Reconcile ticker snaps boundaries (Oee.Shift_Reconcile) | [insp] Oee.Shift_Reconcile (R__Oee_Shift_Reconcile.sql) backfills missed scheduled instances as born-closed shells (C) and opens the active instance (D) purely from the schedule, independent of any production events; a scheduled shift with zero production still yields an Oee.Shift row for auditability.</t>
  </si>
  <si>
    <t>FDS-09-015  —  Shift-End Summary Screen</t>
  </si>
  <si>
    <t>FAT-SHIFT-170</t>
  </si>
  <si>
    <t>Shift-end summary</t>
  </si>
  <si>
    <t>Terminal with open downtime, open LOT pauses, and in-process LOTs at its Cell</t>
  </si>
  <si>
    <t>Open the Shift-End Summary (or trigger Handover)</t>
  </si>
  <si>
    <t>A read-only one-screen summary lists open downtime events, open LOT pauses, and in-process LOTs at the terminal's Cell(s)</t>
  </si>
  <si>
    <t>[insp] ShiftEndSummary view (ShopFloor/ShiftEndSummary/view.json) is a read-only one-screen summary with three panels - 'Open downtime events', 'Paused LOTs', 'In-process LOTs' - bound to BlueRidge.Oee.DowntimeEvent.getEndOfShiftSummary(cellLocationId).</t>
  </si>
  <si>
    <t>FAT-SHIFT-180</t>
  </si>
  <si>
    <t>Shift-end handover acknowledgement</t>
  </si>
  <si>
    <t>Shift-End Summary displayed</t>
  </si>
  <si>
    <t>Acknowledge the summary as the outgoing operator</t>
  </si>
  <si>
    <t>Handover acknowledgement is recorded to Audit.OperationLog (ShiftHandoverAcknowledged); the summary is optional and may be skipped without affecting open events/pauses</t>
  </si>
  <si>
    <t>[insp] ShiftEndSummary 'Acknowledge Handover' button calls Oee.Shift.acknowledgeHandover -&gt; Oee.ShiftHandover_Acknowledge (R__Oee_ShiftHandover_Acknowledge.sql), an audit-only proc writing ShiftHandoverAcknowledged (entity 'Shift') to Audit.OperationLog; it is a separate optional screen that does not mutate open events/pauses.</t>
  </si>
  <si>
    <t>FDS-09-011  —  OEE Scope Boundary   [FUTURE]</t>
  </si>
  <si>
    <t>FDS-12-005  —  Die Shot Report      (FRS 5.6.6)</t>
  </si>
  <si>
    <t>Die Shot report</t>
  </si>
  <si>
    <t>Die-cast production and rejects captured for a die over a shift</t>
  </si>
  <si>
    <t>Request a Die Shot report for a die and shift</t>
  </si>
  <si>
    <t>Report shows total shots, good shots, warm-up shots, and reject counts per die per shift</t>
  </si>
  <si>
    <t>Inputs captured (DieCastContribution/shift output); dedicated report screen pending in this build | [insp] needs live/witness: DATA - FDS-12 Reporting (Die Shot report) is delivered via Ignition's Reporting Module per FDS §12.1; no report resource, proc, or NQ for it exists in the file-synced repo (only per-cavity split proc DieCast_GetShiftOutputBreakdown, which is not the shift Die Shot report). Cannot verify from repo; needs the runtime reporting module + data. || RE-CHECK 2026-08-11: -&gt;Pass Die Cast Shot Count report built &amp; render-verified (Reporting Module suite).</t>
  </si>
  <si>
    <t>FDS-12-006  —  Rejects Report      (FRS 3.5.4)</t>
  </si>
  <si>
    <t>Rejects report</t>
  </si>
  <si>
    <t>Rejects recorded with defect codes across machines</t>
  </si>
  <si>
    <t>Request a Rejects report filtered by defect code / area / machine / date range</t>
  </si>
  <si>
    <t>Report shows reject counts grouped by defect code with area/machine/date-range filters</t>
  </si>
  <si>
    <t>Inputs captured; dedicated report screen pending in this build | [insp] needs live/witness: DATA - FDS-12-006 Rejects Report is an Ignition Reporting Module deliverable (FDS §12.1); no report resource/proc/NQ present in the synced repo. Needs runtime reporting module + reject data to verify. || RE-CHECK 2026-08-11: STILL OPEN - no dedicated Rejects report in Reporting Module suite yet (inputs captured).</t>
  </si>
  <si>
    <t>FDS-12-007  —  Downtime Report      (FRS 3.15.0)</t>
  </si>
  <si>
    <t>Downtime report</t>
  </si>
  <si>
    <t>Downtime events captured across a date range</t>
  </si>
  <si>
    <t>Request a Downtime report filtered by reason code / reason type / area / machine / date range</t>
  </si>
  <si>
    <t>Report shows downtime events by reason code and type with total downtime minutes per shift</t>
  </si>
  <si>
    <t>Inputs captured via Downtime Manager/DowntimeEvent; dedicated report/CSV-export screen pending in this build | [insp] needs live/witness: DATA - FDS-12-007 Downtime Report is an Ignition Reporting Module deliverable (FDS §12.1); underlying downtime data model exists (Oee.DowntimeEvent + reason/type) but no report resource/proc/NQ is present in the synced repo. Needs runtime reporting module to verify. || RE-CHECK 2026-08-11: -&gt;Pass Downtime by Shift + Downtime by Date Range reports built &amp; render-verified.</t>
  </si>
  <si>
    <t>FDS-12-008  —  Production Report      (FRS 3.5.4)</t>
  </si>
  <si>
    <t>Production report</t>
  </si>
  <si>
    <t>Production output recorded by part / machine / shift</t>
  </si>
  <si>
    <t>Request a Production summary report over a date range</t>
  </si>
  <si>
    <t>Report summarizes output by part number, machine, and shift with good count, reject count, and yield</t>
  </si>
  <si>
    <t>Inputs captured; dedicated report screen pending in this build | [insp] needs live/witness: DATA - FDS-12-008 Production Report is an Ignition Reporting Module deliverable (FDS §12.1); no report resource/proc/NQ present in the synced repo. Needs runtime reporting module + production data to verify. || RE-CHECK 2026-08-11: -&gt;Pass Production Line Performance report built &amp; render-verified.</t>
  </si>
  <si>
    <t>FDS-05-024  —  Sublot Labels</t>
  </si>
  <si>
    <t>FAT-LBL-010</t>
  </si>
  <si>
    <t>Sublot label</t>
  </si>
  <si>
    <t>A sublot LOT created from a parent</t>
  </si>
  <si>
    <t>Print the sublot LTT label</t>
  </si>
  <si>
    <t>The label displays both the sublot's own LotNumber and the ParentLotNumber; the LotLabel row carries a ParentLotId reference</t>
  </si>
  <si>
    <t>[insp] Lots.LotLabel_Print persists ParentLotId = Lot.ParentLotId (R__Lots_LotLabel_Print.sql:185-188) and renders both {LotName} and {ParentLotNumber} tokens (154-159, parent LotName). The sublot LabelTemplate ZplBody carries the '^FDParent {ParentLotNumber}^FS' token (0021_arc2_phase2_lot_lifecycle.sql:253), and test 070 asserts the rendered ZPL contains the parent's LotName. Row-carries-ParentLotId + both-numbers-rendered are concretely present.</t>
  </si>
  <si>
    <t>FAT-LBL-020</t>
  </si>
  <si>
    <t>Sublot cross-reference</t>
  </si>
  <si>
    <t>A sublot with a known parent</t>
  </si>
  <si>
    <t>In the genealogy view, enter either the sublot or the parent number</t>
  </si>
  <si>
    <t>The system resolves and shows the other number; the parent reference is preserved through reprint</t>
  </si>
  <si>
    <t>[insp] needs live/witness: LIVE. Reprint preserves the parent reference (LotLabel_Reprint sets ParentLotId=Lot.ParentLotId, R__Lots_LotLabel_Reprint.sql:187) and a GlobalTrace_Resolve proc exists, but the core assertion (genealogy view resolves either the sublot or parent number to the other) is a runtime view+data lookup that must be witnessed live.</t>
  </si>
  <si>
    <t>FDS-05-019  —  Label Print Tracking</t>
  </si>
  <si>
    <t>Label print tracking</t>
  </si>
  <si>
    <t>Any LOT with a printable LTT</t>
  </si>
  <si>
    <t>Print an LTT label</t>
  </si>
  <si>
    <t>A LotLabel row is recorded with LOT, print reason, rendered ZPL content, printer name, printed-by user, terminal, and timestamp</t>
  </si>
  <si>
    <t>[insp] Lots.LotLabel table + LotLabel_Print INSERT records LotId, PrintReasonCodeId, rendered ZplContent, PrinterName, PrintedByUserId, TerminalLocationId, PrintedAt (R__Lots_LotLabel_Print.sql:184-189). Every enumerated field is written on the append-only LotLabel row.</t>
  </si>
  <si>
    <t>FDS-05-020  —  Print Reasons      (FRS 3.13.1, 2.2.1)</t>
  </si>
  <si>
    <t>Print reasons</t>
  </si>
  <si>
    <t>LOTs reaching each print trigger</t>
  </si>
  <si>
    <t>Trigger prints across scenarios (LOT creation, damaged reprint, split, merge, sort-cage re-identify)</t>
  </si>
  <si>
    <t>Each print records the correct reason code — Initial, ReprintDamaged, Split, Merge, or SortCageReIdentify</t>
  </si>
  <si>
    <t>[insp] needs live/witness: LIVE. All five reason codes are seeded exactly (Initial, ReprintDamaged, Split, Merge, SortCageReIdentify; 0004_phase3_reference_lookups.sql:112-117) and the print procs accept a PrintReasonCodeId, but verifying that each trigger scenario (creation/damaged/split/merge/sort-cage) records the correct reason requires exercising the workflows live. Only Initial + ReprintDamaged are covered by test 070.</t>
  </si>
  <si>
    <t>FDS-07-006  —  Shipping Label Generation</t>
  </si>
  <si>
    <t>Shipping label generation</t>
  </si>
  <si>
    <t>A completed container with a claimed AIM shipper ID</t>
  </si>
  <si>
    <t>Inspect the generated shipping label</t>
  </si>
  <si>
    <t>A ZPL shipping label carries the AIM shipper ID, part number, quantity, and Honda-required fields and is sent to the terminal's Zebra</t>
  </si>
  <si>
    <t>Zebra raw-TCP 9100; simulated in dev | [insp] ShippingDispatcher._renderZpl builds a 'Minimal container shipping label' carrying ONLY the AIM Shipper ID as a Code-128 barcode (BlueRidge/Lots/ShippingDispatcher/code.py:30-34). It does NOT include part number, quantity, or Honda-required fields, contradicting the Expected. (Physical send to the Zebra is separately HW-gated, but the ZPL content is inspectable and deficient.) || RE-CHECK 2026-08-11: -&gt;Pass ufn_ShippingLabelZpl renders Honda fields from LabelTemplate tokens (migration 0054).</t>
  </si>
  <si>
    <t>FDS-07-007  —  Shipping Label Tracking</t>
  </si>
  <si>
    <t>Shipping label tracking</t>
  </si>
  <si>
    <t>Shipping labels printed / voided / reprinted</t>
  </si>
  <si>
    <t>Review the ShippingLabel rows</t>
  </si>
  <si>
    <t>Every print, void, and reprint is recorded with container, AIM shipper ID, label type, ZPL content, void flag, printed/voided timestamps, and printed-by user</t>
  </si>
  <si>
    <t>[insp] The Lots.ShippingLabel table has no ZplContent column (0028_arc2_phase6_assembly.sql:109-131 — ContainerId, AimShipperId, LabelTypeCodeId, Initial, PrintReasonCode, IsVoid, PrintedAt, VoidedAt, VoidedByUserId, PrintedByUserId, etc.), and no proc writes rendered ZPL to the row. All other enumerated fields are recorded, but 'ZPL content' is explicitly required and is absent from the schema. || RE-CHECK 2026-08-11: -&gt;Pass Lots.ShippingLabel.ZplContent added (0054); Container_Complete persists rendered ZPL (5d85afb8).</t>
  </si>
  <si>
    <t>FDS-07-008  —  Shipping Label Void</t>
  </si>
  <si>
    <t>FAT-LBL-070</t>
  </si>
  <si>
    <t>Shipping label void</t>
  </si>
  <si>
    <t>A completed container's shipping label</t>
  </si>
  <si>
    <t>Void the shipping label</t>
  </si>
  <si>
    <t>IsVoid=1 and VoidedAt are set, the row is retained (not deleted), and AIM is notified of the void</t>
  </si>
  <si>
    <t>AIM endpoint simulated in dev | [insp] needs live/witness: LIVE. The DB void behavior is fully implemented — ShippingLabel_Void sets IsVoid=1, VoidedAt, VoidedByUserId via UPDATE (row retained, not deleted; R__Lots_ShippingLabel_Void.sql:49) and rejects already-void. But 'AIM is notified of the void' is not wired (no AIM void call in the proc; AimPoolGateway has no void notifier) and requires a live AIM endpoint to verify.</t>
  </si>
  <si>
    <t>FAT-LBL-080</t>
  </si>
  <si>
    <t>Void ID lifecycle</t>
  </si>
  <si>
    <t>A voided AIM shipper ID</t>
  </si>
  <si>
    <t>Re-pack the container and close the new container</t>
  </si>
  <si>
    <t>The voided AIM ID is NOT returned to the pool (permanently consumed); the re-packed container draws a fresh ID from the pool</t>
  </si>
  <si>
    <t>[insp] A voided AIM ID is permanently consumed: ShippingLabel_Void touches only the label row, never resetting Lots.AimShipperIdPool.ConsumedAt (R__Lots_ShippingLabel_Void.sql), and the FIFO claim only selects rows WHERE ConsumedAt IS NULL (R__Lots_AimShipperIdPool_Claim.sql:56 / Container_Complete inline claim, 0029-referenced Container_Complete:137). A re-pack close therefore draws the next fresh un-consumed ID; the voided ID is never returned to the pool.</t>
  </si>
  <si>
    <t>FDS-07-009  —  Shipping Label Reprint      (FRS 3.13.1)</t>
  </si>
  <si>
    <t>Shipping label reprint</t>
  </si>
  <si>
    <t>A damaged/unreadable shipping label</t>
  </si>
  <si>
    <t>Reprint the label as an authorized user</t>
  </si>
  <si>
    <t>A NEW ShippingLabel row is created (Initial=0 with a print reason); the original row is unchanged</t>
  </si>
  <si>
    <t>[insp] ShippingLabel_Reprint INSERTs a NEW row for the same container+AimShipperId with Initial=0 and a PrintReasonCode, leaving the original untouched (append-only; R__Lots_ShippingLabel_Reprint.sql:46-47). Matches the Expected.</t>
  </si>
  <si>
    <t>FDS-07-010  —  AIM Shipper ID Local Pool</t>
  </si>
  <si>
    <t>FAT-LBL-100</t>
  </si>
  <si>
    <t>AIM pool FIFO</t>
  </si>
  <si>
    <t>A pool pre-fetched with AIM shipper IDs for the part</t>
  </si>
  <si>
    <t>Complete containers and inspect the pool</t>
  </si>
  <si>
    <t>IDs are consumed FIFO (oldest FetchedAt first) at container close; each consumed row is terminal (ConsumedAt set, pointing at the consuming container)</t>
  </si>
  <si>
    <t>[insp] AIM IDs are consumed FIFO by FetchedAt then Id, and each consumed row is terminal — ConsumedAt=SYSUTCDATETIME() with ConsumedByContainerId (+ ConsumedByUserId) set (Container_Complete inline claim R__Lots_Container_Complete.sql:134-141; standalone AimShipperIdPool_Claim.sql:53-60). ORDER BY FetchedAt, Id enforces oldest-first.</t>
  </si>
  <si>
    <t>FAT-LBL-110</t>
  </si>
  <si>
    <t>Empty-pool hard fail</t>
  </si>
  <si>
    <t>An exhausted AIM pool for the part</t>
  </si>
  <si>
    <t>Attempt to complete a full container</t>
  </si>
  <si>
    <t>Completion hard-fails before the transaction (container stays Open) and production stops on the line until the pool refills — no soft fallback</t>
  </si>
  <si>
    <t>OI-33 posture | [insp] OI-33 hard-fail: Container_Complete checks the pool BEFORE BEGIN TRANSACTION and returns Status 0 leaving the container Open with no soft fallback when no un-consumed ID exists for the part (R__Lots_Container_Complete.sql:119-127). AimShipperIdPool_Claim mirrors the same empty-pool hard-fail.</t>
  </si>
  <si>
    <t>FDS-07-011  —  AIM Hold Notification      (FRS 2.3.1)</t>
  </si>
  <si>
    <t>AIM hold notification</t>
  </si>
  <si>
    <t>A completed container placed on hold</t>
  </si>
  <si>
    <t>Place the container on hold; then release it</t>
  </si>
  <si>
    <t>AIM PlaceOnHold is called with the shipper ID on hold and ReleaseFromHold on release; both calls are logged to Audit.InterfaceLog</t>
  </si>
  <si>
    <t>AIM HTTP endpoint simulated in dev (logs attempt + not-configured status) | [insp] needs live/witness: LIVE. AimPoolGateway.placeOnHold/releaseFromHold exist and log to Audit.InterfaceLog via _logAim, but they are SIM stubs returning 'AIM endpoint not configured (dev)' and are NOT wired into Quality.Hold_Place/Hold_Release (the proc comment defers AIM PlaceOnHold to a Gateway-async commissioning step 'A6'). Firing on hold/release requires a live AIM endpoint and the commissioning wiring.</t>
  </si>
  <si>
    <t>FDS-07-012  —  AIM Update for Re-Sort      (FRS 2.1.10)</t>
  </si>
  <si>
    <t>AIM update for re-sort</t>
  </si>
  <si>
    <t>A Sort Cage re-pack with serial migration</t>
  </si>
  <si>
    <t>Re-pack a container with new serials</t>
  </si>
  <si>
    <t>AIM UpdateAim is called with the new and previous serial parameters and logged to Audit.InterfaceLog</t>
  </si>
  <si>
    <t>AIM endpoint simulated in dev | [insp] needs live/witness: LIVE. AimPoolGateway.update exists and logs to Audit.InterfaceLog but is a SIM stub, and Lots.SortCage_MigrateSerial does not invoke it (R__Lots_SortCage_MigrateSerial.sql has no AIM call). Verifying UpdateAim fires with new/previous serial params on re-pack requires a live AIM endpoint plus the (unbuilt) trigger wiring.</t>
  </si>
  <si>
    <t>FDS-10-008  —  Zebra Printer Integration</t>
  </si>
  <si>
    <t>FAT-LBL-140</t>
  </si>
  <si>
    <t>Zebra integration</t>
  </si>
  <si>
    <t>A terminal with an associated Zebra printer</t>
  </si>
  <si>
    <t>Print a label from that terminal</t>
  </si>
  <si>
    <t>ZPL is sent over a TCP socket to the terminal's configured printer; ZPL templates come from configurable LabelTemplate rows, not hard-coded</t>
  </si>
  <si>
    <t>Zebra raw-TCP 9100; no networked printer in dev (simulated) | [insp] LTT ZPL is sent over a raw TCP socket to the printer endpoint (default :9100) resolved from the terminal/session printer config (BlueRidge/Lots/LotLabel/code.py:69-96, _dispatchZpl Socket.connect), and the ZPL body comes from configurable Lots.LabelTemplate.ZplBody rows resolved at print time — not hard-coded (R__Lots_LotLabel_Print.sql:132-133; template seed 0021:249-253). (Actual physical print is HW-gated, but the socket-dispatch mechanism and configurable-template design are inspectable and present.)</t>
  </si>
  <si>
    <t>FAT-LBL-150</t>
  </si>
  <si>
    <t>Async print dispatch + retry</t>
  </si>
  <si>
    <t>A shipping label queued at container close</t>
  </si>
  <si>
    <t>Force a print failure at the Zebra</t>
  </si>
  <si>
    <t>Dispatch is async (Gateway-script-async); on failure the handler retries up to 3 attempts with a 2s gap, then sets PrintFailedAt and surfaces a terminal banner; a stranded-print sweep catches orphaned labels</t>
  </si>
  <si>
    <t>Print-failure lifecycle; dev SIM fails-fast + logs | [insp] The Expected async+retry lifecycle is not implemented. LotLabel and ShippingDispatcher dispatch is SYNCHRONOUS (LotLabel docstring 'SYNCHRONOUS ZPL dispatch') with a single endpoint re-resolve+retry — not Gateway-async, not 3 attempts, no 2s gap (BlueRidge/Lots/LotLabel/code.py:148-171). PrintFailureGateway.sweepTick/broadcastTick (PrintFailedAt mark, terminal banner, stranded-print sweep) are explicit SKELETON no-ops (BlueRidge/Lots/PrintFailureGateway/code.py:18-29). Concretely contradicts the spec'd behavior. || RE-CHECK 2026-08-11: -&gt;Pass async print 3x/backoff + PrintFailureGateway sweep/broadcast + terminal banner (Brief D).</t>
  </si>
  <si>
    <t>FDS-13-001  —  AIM Interface Methods</t>
  </si>
  <si>
    <t>AIM interface methods</t>
  </si>
  <si>
    <t>AIM integration configured</t>
  </si>
  <si>
    <t>Exercise each AIM trigger</t>
  </si>
  <si>
    <t>All four methods are implemented and fire on their triggers — GetNextNumber (pool topup), UpdateAim (Sort Cage re-pack), PlaceOnHold (hold), ReleaseFromHold (release)</t>
  </si>
  <si>
    <t>AIM endpoint simulated in dev; live HTTP wiring at commissioning | [insp] needs live/witness: LIVE. All four AIM methods exist as functions — topupTick (GetNextNumber), update, placeOnHold, releaseFromHold (BlueRidge/Lots/AimPoolGateway/code.py) — but every one is a SIM stub (topupTick is a no-op; the others return 'not configured (dev)') and none is wired to actually fire on its trigger. 'Implemented and fire on their triggers' requires a live AIM endpoint to verify.</t>
  </si>
  <si>
    <t>FDS-13-002  —  AIM Error Handling</t>
  </si>
  <si>
    <t>AIM error handling</t>
  </si>
  <si>
    <t>An AIM call that fails</t>
  </si>
  <si>
    <t>Trigger an AIM call while the endpoint is unavailable</t>
  </si>
  <si>
    <t>The failure is logged to Audit.InterfaceLog with error details, queued for retry, the shipping operator is alerted the call is pending, and the container stays in its current status until the call succeeds</t>
  </si>
  <si>
    <t>AIM endpoint simulated in dev | [insp] needs live/witness: LIVE. The AIM stubs log failures to Audit.InterfaceLog with error details (_logAim, AimPoolGateway/code.py:54-64), but 'queued for retry', 'operator alerted the call is pending', and 'container stays in its current status until the call succeeds' are not implemented (stubs simply return not-configured) and cannot be exercised without a live/failing AIM endpoint.</t>
  </si>
  <si>
    <t>FDS-13-003  —  AIM Availability</t>
  </si>
  <si>
    <t>AIM availability</t>
  </si>
  <si>
    <t>A pre-fetched AIM pool with AIM offline</t>
  </si>
  <si>
    <t>Complete containers during an AIM outage</t>
  </si>
  <si>
    <t>Containers still complete and stage from the pre-fetched pool and production is not blocked by the AIM outage; only a fully exhausted pool stops closure (per the pool hard-fail)</t>
  </si>
  <si>
    <t>[insp] By design the container-close path is decoupled from AIM availability: Container_Complete claims the next ID from the local Lots.AimShipperIdPool with no AIM call inline (R__Lots_Container_Complete.sql:132-157), and AIM GetNextNumber topup is a separate async tick (AimPoolGateway.topupTick). Closure succeeds from the pre-fetched pool during an AIM outage; only a fully exhausted pool hard-fails (per LBL-110). Structurally guaranteed.</t>
  </si>
  <si>
    <t>FDS-11-001  —  Operation Log</t>
  </si>
  <si>
    <t>FAT-AUD-010</t>
  </si>
  <si>
    <t>Operation log capture</t>
  </si>
  <si>
    <t>A shop-floor action available (e.g. move or split a LOT)</t>
  </si>
  <si>
    <t>Perform the action then open the LOT's history detail</t>
  </si>
  <si>
    <t>An Audit.OperationLog entry is written with timestamp, user, terminal, location, severity, event type, entity type, entity id, and description</t>
  </si>
  <si>
    <t>No standalone operation-log browser; witnessed via LOT history detail / DB inspection | [insp] needs live/witness: LIVE — Audit.OperationLog + Audit_LogOperation carry all 9 fields, but LOT move/split route to Lots.LotEventLog (R__Audit_Audit_LogOperation.sql:57-88); confirming the entry via the LOT history detail is a witnessed action</t>
  </si>
  <si>
    <t>FAT-AUD-020</t>
  </si>
  <si>
    <t>Operation-log atomicity</t>
  </si>
  <si>
    <t>A mutating proc that fails after opening its transaction</t>
  </si>
  <si>
    <t>Trigger a mutation that rolls back</t>
  </si>
  <si>
    <t>The operation-log write is atomic with the mutation — a rolled-back mutation leaves no orphan log row (write occurs inside the proc transaction)</t>
  </si>
  <si>
    <t>N/A by inspection | [insp] Audit_LogOperation is a bare INSERT with no own transaction (R__Audit_Audit_LogOperation.sql), EXEC'd between the caller's BEGIN TRANSACTION and COMMIT (R__Lots_Container_Complete.sql:132,193,198); a rollback discards the log row — atomic, no orphan</t>
  </si>
  <si>
    <t>FDS-11-002  —  Configuration Log</t>
  </si>
  <si>
    <t>FAT-AUD-030</t>
  </si>
  <si>
    <t>Configuration log browser</t>
  </si>
  <si>
    <t>Config Tool Audit (Config Log) browser reachable at /audit</t>
  </si>
  <si>
    <t>Open the browser and apply Entity Type / Severity / date-range / search filters</t>
  </si>
  <si>
    <t>The Configuration Log lists config changes; Apply filters and Reset clears them; timestamps display in Eastern time</t>
  </si>
  <si>
    <t>[insp] AuditLog view routed at /audit-log (page-config/config.json:7-9) with EntityType/Severity/date/search filters + Apply/Reset (view.json:5440-5477,5747); ConfigLog_List converts LoggedAt to Eastern (R__Audit_ConfigLog_List.sql:46) with COUNT(*) OVER() TotalCount + filters</t>
  </si>
  <si>
    <t>FAT-AUD-040</t>
  </si>
  <si>
    <t>Configuration change audit</t>
  </si>
  <si>
    <t>Config Log browser open</t>
  </si>
  <si>
    <t>Make an engineering change (e.g. deprecate a downtime reason code), then find it in the Config Log and open its detail</t>
  </si>
  <si>
    <t>Entry shows the change with a structured old/new JSON diff carrying resolved-name FK sub-objects; detail popup renders the change</t>
  </si>
  <si>
    <t>[insp] ConfigLog_List returns OldValue/NewValue; embedded rows show resolved-name FK JSON e.g. Location:{Id,Code,Name} (AuditLog view.json:117); onRowDoubleClick opens ConfigChangeDetail popup with oldValue/newValue (view.json:5560-5562)</t>
  </si>
  <si>
    <t>FDS-11-003  —  Interface Log</t>
  </si>
  <si>
    <t>Interface log capture</t>
  </si>
  <si>
    <t>An external call path available (AIM or Zebra print)</t>
  </si>
  <si>
    <t>Trigger the external call and inspect Audit.InterfaceLog</t>
  </si>
  <si>
    <t>An interface-log row is written with system name, direction (INBOUND/OUTBOUND), event type, and description</t>
  </si>
  <si>
    <t>No dedicated interface-log browser; witness by DB inspection | [insp] Audit_LogInterfaceCall writes SystemName/Direction/LogEventTypeId/Description (R__Audit_Audit_LogInterfaceCall.sql:32-49); invoked by ShippingDispatcher/LotLabel dispatch paths</t>
  </si>
  <si>
    <t>FDS-11-004  —  Failure Log</t>
  </si>
  <si>
    <t>FAT-AUD-060</t>
  </si>
  <si>
    <t>Failure log browser</t>
  </si>
  <si>
    <t>Failure Log browser reachable at /failure-log</t>
  </si>
  <si>
    <t>Cause a rejected mutation (e.g. deprecate an entity with active dependents), then open the Failure Log</t>
  </si>
  <si>
    <t>Entry shows the attempted timestamp, user, entity, event type, failure reason, procedure name, and a JSON snapshot of the input parameters; detail popup opens</t>
  </si>
  <si>
    <t>[insp] FailureLog view routed at /failure-log (config.json:19-21); FailureLog_List returns AttemptedAt/UserDisplayName/entity/eventtype/FailureReason/ProcedureName/AttemptedParameters (R__Audit_FailureLog_List.sql:44-57); row-click opens FailureDetail popup (view.json:1923-1925)</t>
  </si>
  <si>
    <t>FAT-AUD-070</t>
  </si>
  <si>
    <t>Failure-log analytics</t>
  </si>
  <si>
    <t>Failure Log browser open with several logged rejections</t>
  </si>
  <si>
    <t>Review the dashboard tiles</t>
  </si>
  <si>
    <t>Top Rejection Reasons and Top Failing Procedures tiles aggregate the rejections; entity/user/procedure/date filters narrow the list</t>
  </si>
  <si>
    <t>[insp] FailureLog view has 'Top Rejection Reasons' + 'Top Failing Procedures' tiles (view.json:1758,1820) fed by FailureLog.search topReasons/topProcs (GetTopReasons/GetTopProcs procs); entity/procedure/search filters present (view.json:1493,1555)</t>
  </si>
  <si>
    <t>FDS-11-005  —  High-Fidelity Interface Logging</t>
  </si>
  <si>
    <t>High-fidelity interface logging</t>
  </si>
  <si>
    <t>Interface logging configuration accessible</t>
  </si>
  <si>
    <t>Enable high-fidelity mode for one target system</t>
  </si>
  <si>
    <t>Full RequestPayload and ResponsePayload are stored for that system; the mode is toggleable per target system without a restart</t>
  </si>
  <si>
    <t>N/A by inspection | [insp] needs live/witness: MANUAL — IsHighFidelity is a per-call BIT param (payloads stored only when=1, R__Audit_Audit_LogInterfaceCall.sql:50-51); no per-target-system toggle configuration table/UI exists in repo, so 'toggleable per system' cannot be confirmed statically</t>
  </si>
  <si>
    <t>FDS-11-006  —  Event Type Vocabulary</t>
  </si>
  <si>
    <t>Event type vocabulary</t>
  </si>
  <si>
    <t>Any audit browser with an Event Type facet</t>
  </si>
  <si>
    <t>Inspect the event type values on log entries</t>
  </si>
  <si>
    <t>Event types come from the normalized LogEventType table (e.g. LotMoved, DowntimeStarted, ConfigChanged) with no free-text drift; an unseeded code cannot be written</t>
  </si>
  <si>
    <t>[insp] Normalized Audit.LogEventType table (0001:60-66) with all four log tables carrying FK REFERENCES Audit.LogEventType(Id); event type is an FK id, not free-text — arbitrary/unseeded ids cannot be inserted</t>
  </si>
  <si>
    <t>FDS-11-007  —  Entity Type Vocabulary</t>
  </si>
  <si>
    <t>Entity type vocabulary</t>
  </si>
  <si>
    <t>Open the Entity Type filter dropdown</t>
  </si>
  <si>
    <t>Entity types are populated from the normalized LogEntityType table (Lot, DowntimeEvent, DowntimeReasonCode, Location, etc.)</t>
  </si>
  <si>
    <t>[insp] Entity Type dropdown options bind runScript('BlueRidge.Audit.LogEntityType.list') -&gt; audit/LogEntityType_List -&gt; Audit.LogEntityType table (AuditLog view.json:5178; FailureLog view.json:1493)</t>
  </si>
  <si>
    <t>FDS-11-011  —  Ignition JDBC Single-Result-Set Convention</t>
  </si>
  <si>
    <t>Single-result-set convention</t>
  </si>
  <si>
    <t>Any Ignition-consumed stored procedure</t>
  </si>
  <si>
    <t>Inspect proc signatures and result-set behavior</t>
  </si>
  <si>
    <t>Procs return exactly one result set and declare no OUTPUT parameters; mutations emit a single SELECT Status/Message/NewId and reads return an empty set for not-found</t>
  </si>
  <si>
    <t>N/A by inspection | [insp] FDS-11-011 single-result-set / no-OUTPUT convention enforced: Container_Complete ends every path with one SELECT Status/Message/... and no OUTPUT params (R__Lots_Container_Complete.sql); ConfigLog_List/FailureLog_List return one SELECT; audit writers emit no result set</t>
  </si>
  <si>
    <t>FDS-11-009  —  Retention Policy</t>
  </si>
  <si>
    <t>Retention policy</t>
  </si>
  <si>
    <t>Partition-maintenance timer configured</t>
  </si>
  <si>
    <t>Inspect the retention/partition maintenance configuration</t>
  </si>
  <si>
    <t>Differentiated retention is enforced via the monthly sliding-window partition process — 20-yr Honda traceability vs 7-yr general operational/audit; aged partitions purged in place</t>
  </si>
  <si>
    <t>Final per-table windows pending MPP IT confirmation (OI-35 B1) | [insp] Audit.PartitionRetention catalog carries differentiated 84-mo (7-yr) vs 240-mo (20-yr) classes (0020 lines 130-146, LotEventLog@240 lines 768-770); Partition_MaintainWindow does monthly SPLIT/TRUNCATE-in-place/MERGE (R__Audit_Partition_MaintainWindow.sql); daily PartitionMaintenance gateway timer wired (enabled, delay 86400000)</t>
  </si>
  <si>
    <t>FDS-11-010  —  BIGINT Primary Keys</t>
  </si>
  <si>
    <t>BIGINT primary keys</t>
  </si>
  <si>
    <t>Access to the audit schema</t>
  </si>
  <si>
    <t>Inspect the four log tables' primary keys</t>
  </si>
  <si>
    <t>OperationLog, ConfigLog, InterfaceLog, and FailureLog all use BIGINT IDENTITY primary keys for high-volume append</t>
  </si>
  <si>
    <t>N/A by inspection | [insp] OperationLog/ConfigLog/InterfaceLog/FailureLog all declared BIGINT IDENTITY(1,1) PRIMARY KEY (0001:164,182,202,219); Id stays BIGINT IDENTITY after 0020 repartition (composite (Id,LoggedAt/AttemptedAt) PKs keep the IDENTITY Id)</t>
  </si>
  <si>
    <t>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</si>
</sst>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8"/>
      <color rgb="FF1F3A5F"/>
      <name val="Calibri"/>
    </font>
    <font>
      <i/>
      <sz val="11"/>
      <color rgb="FF595959"/>
      <name val="Calibri"/>
    </font>
    <font>
      <b/>
      <sz val="10"/>
      <name val="Calibri"/>
    </font>
    <font>
      <sz val="10"/>
      <name val="Calibri"/>
    </font>
    <font>
      <b/>
      <sz val="11"/>
      <color rgb="FFFFFFFF"/>
      <name val="Calibri"/>
    </font>
    <font>
      <b/>
      <sz val="10"/>
      <color rgb="FF2E75B6"/>
      <name val="Calibri"/>
    </font>
    <font>
      <i/>
      <sz val="10"/>
      <color rgb="FF808080"/>
      <name val="Calibri"/>
    </font>
  </fonts>
  <fills count="11">
    <fill>
      <patternFill patternType="none"/>
    </fill>
    <fill>
      <patternFill patternType="gray125"/>
    </fill>
    <fill>
      <patternFill patternType="solid">
        <fgColor rgb="FF1F3A5F"/>
      </patternFill>
    </fill>
    <fill>
      <patternFill patternType="solid">
        <fgColor rgb="FFFFF6D9"/>
      </patternFill>
    </fill>
    <fill>
      <patternFill patternType="solid">
        <fgColor rgb="FFF5F8FC"/>
      </patternFill>
    </fill>
    <fill>
      <patternFill patternType="solid">
        <fgColor rgb="FFE2EFDA"/>
      </patternFill>
    </fill>
    <fill>
      <patternFill patternType="solid">
        <fgColor rgb="FFECECEC"/>
      </patternFill>
    </fill>
    <fill>
      <patternFill patternType="solid">
        <fgColor rgb="FFFCE4B8"/>
      </patternFill>
    </fill>
    <fill>
      <patternFill patternType="solid">
        <fgColor rgb="FF2E75B6"/>
      </patternFill>
    </fill>
    <fill>
      <patternFill patternType="solid">
        <fgColor rgb="FFF2F2F2"/>
      </patternFill>
    </fill>
    <fill>
      <patternFill patternType="solid">
        <fgColor rgb="FF548235"/>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38">
    <xf numFmtId="0" fontId="0" fillId="0" borderId="0" xfId="0"/>
    <xf numFmtId="0" fontId="3" fillId="0" borderId="0" xfId="0" applyFont="1"/>
    <xf numFmtId="0" fontId="4" fillId="0" borderId="0" xfId="0" applyFont="1"/>
    <xf numFmtId="0" fontId="3" fillId="4" borderId="1" xfId="0" applyFont="1" applyFill="1" applyBorder="1"/>
    <xf numFmtId="0" fontId="3" fillId="0" borderId="1" xfId="0" applyFont="1" applyBorder="1"/>
    <xf numFmtId="0" fontId="0" fillId="0" borderId="1" xfId="0" applyBorder="1"/>
    <xf numFmtId="0" fontId="3" fillId="0" borderId="1" xfId="0" applyFont="1" applyBorder="1" applyAlignment="1">
      <alignment horizontal="left"/>
    </xf>
    <xf numFmtId="0" fontId="4" fillId="0" borderId="1" xfId="0" applyFont="1" applyBorder="1" applyAlignment="1">
      <alignment horizontal="center"/>
    </xf>
    <xf numFmtId="0" fontId="5" fillId="2" borderId="1" xfId="0" applyFont="1" applyFill="1" applyBorder="1" applyAlignment="1">
      <alignment vertical="center"/>
    </xf>
    <xf numFmtId="0" fontId="6" fillId="0" borderId="1" xfId="0" applyFont="1" applyBorder="1" applyAlignment="1">
      <alignment vertical="top"/>
    </xf>
    <xf numFmtId="0" fontId="4" fillId="0" borderId="1" xfId="0" applyFont="1" applyBorder="1" applyAlignment="1">
      <alignment vertical="top" wrapText="1"/>
    </xf>
    <xf numFmtId="0" fontId="4" fillId="0" borderId="1" xfId="0" applyFont="1" applyBorder="1" applyAlignment="1">
      <alignment vertical="top"/>
    </xf>
    <xf numFmtId="0" fontId="3" fillId="5" borderId="1" xfId="0" applyFont="1" applyFill="1" applyBorder="1" applyAlignment="1">
      <alignment vertical="top"/>
    </xf>
    <xf numFmtId="0" fontId="3" fillId="6" borderId="1" xfId="0" applyFont="1" applyFill="1" applyBorder="1" applyAlignment="1">
      <alignment vertical="top"/>
    </xf>
    <xf numFmtId="0" fontId="3" fillId="7" borderId="1" xfId="0" applyFont="1" applyFill="1" applyBorder="1" applyAlignment="1">
      <alignment vertical="top"/>
    </xf>
    <xf numFmtId="0" fontId="6" fillId="0" borderId="1" xfId="0" applyFont="1" applyBorder="1" applyAlignment="1">
      <alignment horizontal="left" vertical="top" wrapText="1"/>
    </xf>
    <xf numFmtId="0" fontId="4" fillId="0" borderId="1" xfId="0" applyFont="1" applyBorder="1" applyAlignment="1">
      <alignment horizontal="left" vertical="top" wrapText="1"/>
    </xf>
    <xf numFmtId="0" fontId="4" fillId="3" borderId="1" xfId="0" applyFont="1" applyFill="1" applyBorder="1" applyAlignment="1">
      <alignment horizontal="center" vertical="top" wrapText="1"/>
    </xf>
    <xf numFmtId="0" fontId="6"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7" fillId="9" borderId="0" xfId="0" applyFont="1" applyFill="1" applyAlignment="1">
      <alignment horizontal="left" vertical="center" indent="2"/>
    </xf>
    <xf numFmtId="0" fontId="5" fillId="10" borderId="0" xfId="0" applyFont="1" applyFill="1" applyAlignment="1">
      <alignment horizontal="left" vertical="center" indent="1"/>
    </xf>
    <xf numFmtId="0" fontId="3" fillId="0" borderId="4" xfId="0" applyFont="1" applyBorder="1" applyAlignment="1">
      <alignment horizontal="left"/>
    </xf>
    <xf numFmtId="0" fontId="5" fillId="8" borderId="0" xfId="0" applyFont="1" applyFill="1" applyAlignment="1">
      <alignment horizontal="left" vertical="center" indent="1"/>
    </xf>
    <xf numFmtId="0" fontId="0" fillId="0" borderId="0" xfId="0"/>
    <xf numFmtId="0" fontId="4" fillId="0" borderId="0" xfId="0" applyFont="1" applyAlignment="1">
      <alignment vertical="top" wrapText="1"/>
    </xf>
    <xf numFmtId="0" fontId="5" fillId="2" borderId="0" xfId="0" applyFont="1" applyFill="1"/>
    <xf numFmtId="0" fontId="0" fillId="0" borderId="1" xfId="0" applyBorder="1"/>
    <xf numFmtId="0" fontId="0" fillId="0" borderId="2" xfId="0" applyBorder="1"/>
    <xf numFmtId="0" fontId="3" fillId="4" borderId="1" xfId="0" applyFont="1" applyFill="1" applyBorder="1"/>
    <xf numFmtId="0" fontId="2" fillId="0" borderId="0" xfId="0" applyFont="1"/>
    <xf numFmtId="0" fontId="0" fillId="3" borderId="1" xfId="0" applyFill="1" applyBorder="1"/>
    <xf numFmtId="0" fontId="0" fillId="0" borderId="3" xfId="0" applyBorder="1"/>
    <xf numFmtId="0" fontId="1" fillId="0" borderId="0" xfId="0" applyFont="1"/>
    <xf numFmtId="0" fontId="5" fillId="10" borderId="0" xfId="0" applyFont="1" applyFill="1" applyAlignment="1">
      <alignment horizontal="left" vertical="center" indent="1"/>
    </xf>
    <xf numFmtId="0" fontId="7" fillId="9" borderId="0" xfId="0" applyFont="1" applyFill="1" applyAlignment="1">
      <alignment horizontal="left" vertical="center"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6"/>
  <sheetViews>
    <sheetView topLeftCell="A23" workbookViewId="0">
      <selection activeCell="A47" sqref="A47"/>
    </sheetView>
  </sheetViews>
  <sheetFormatPr defaultRowHeight="15" x14ac:dyDescent="0.25"/>
  <cols>
    <col min="1" max="1" width="30" customWidth="1"/>
    <col min="2" max="3" width="16" customWidth="1"/>
    <col min="4" max="4" width="14" customWidth="1"/>
    <col min="5" max="6" width="10" customWidth="1"/>
  </cols>
  <sheetData>
    <row r="1" spans="1:6" ht="26.1" customHeight="1" x14ac:dyDescent="0.35">
      <c r="A1" s="35" t="s">
        <v>242</v>
      </c>
      <c r="B1" s="26"/>
      <c r="C1" s="26"/>
      <c r="D1" s="26"/>
      <c r="E1" s="26"/>
      <c r="F1" s="26"/>
    </row>
    <row r="2" spans="1:6" x14ac:dyDescent="0.25">
      <c r="A2" s="32" t="s">
        <v>243</v>
      </c>
      <c r="B2" s="26"/>
      <c r="C2" s="26"/>
      <c r="D2" s="26"/>
      <c r="E2" s="26"/>
      <c r="F2" s="26"/>
    </row>
    <row r="4" spans="1:6" x14ac:dyDescent="0.25">
      <c r="A4" s="1" t="s">
        <v>244</v>
      </c>
      <c r="B4" s="27" t="s">
        <v>245</v>
      </c>
      <c r="C4" s="26"/>
      <c r="D4" s="26"/>
      <c r="E4" s="26"/>
      <c r="F4" s="26"/>
    </row>
    <row r="5" spans="1:6" x14ac:dyDescent="0.25">
      <c r="A5" s="1" t="s">
        <v>246</v>
      </c>
      <c r="B5" s="27" t="s">
        <v>247</v>
      </c>
      <c r="C5" s="26"/>
      <c r="D5" s="26"/>
      <c r="E5" s="26"/>
      <c r="F5" s="26"/>
    </row>
    <row r="6" spans="1:6" x14ac:dyDescent="0.25">
      <c r="A6" s="1" t="s">
        <v>248</v>
      </c>
      <c r="B6" s="27" t="s">
        <v>249</v>
      </c>
      <c r="C6" s="26"/>
      <c r="D6" s="26"/>
      <c r="E6" s="26"/>
      <c r="F6" s="26"/>
    </row>
    <row r="7" spans="1:6" x14ac:dyDescent="0.25">
      <c r="A7" s="1" t="s">
        <v>250</v>
      </c>
      <c r="B7" s="27" t="s">
        <v>251</v>
      </c>
      <c r="C7" s="26"/>
      <c r="D7" s="26"/>
      <c r="E7" s="26"/>
      <c r="F7" s="26"/>
    </row>
    <row r="8" spans="1:6" x14ac:dyDescent="0.25">
      <c r="A8" s="1" t="s">
        <v>252</v>
      </c>
      <c r="B8" s="27" t="s">
        <v>253</v>
      </c>
      <c r="C8" s="26"/>
      <c r="D8" s="26"/>
      <c r="E8" s="26"/>
      <c r="F8" s="26"/>
    </row>
    <row r="10" spans="1:6" ht="18" customHeight="1" x14ac:dyDescent="0.25">
      <c r="A10" s="28" t="s">
        <v>254</v>
      </c>
      <c r="B10" s="26"/>
      <c r="C10" s="26"/>
      <c r="D10" s="26"/>
      <c r="E10" s="26"/>
      <c r="F10" s="26"/>
    </row>
    <row r="11" spans="1:6" x14ac:dyDescent="0.25">
      <c r="A11" s="2" t="s">
        <v>255</v>
      </c>
      <c r="B11" s="33"/>
      <c r="C11" s="34"/>
      <c r="D11" s="34"/>
      <c r="E11" s="34"/>
      <c r="F11" s="30"/>
    </row>
    <row r="12" spans="1:6" x14ac:dyDescent="0.25">
      <c r="A12" s="2" t="s">
        <v>256</v>
      </c>
      <c r="B12" s="33"/>
      <c r="C12" s="34"/>
      <c r="D12" s="34"/>
      <c r="E12" s="34"/>
      <c r="F12" s="30"/>
    </row>
    <row r="13" spans="1:6" x14ac:dyDescent="0.25">
      <c r="A13" s="2" t="s">
        <v>257</v>
      </c>
      <c r="B13" s="33"/>
      <c r="C13" s="34"/>
      <c r="D13" s="34"/>
      <c r="E13" s="34"/>
      <c r="F13" s="30"/>
    </row>
    <row r="14" spans="1:6" x14ac:dyDescent="0.25">
      <c r="A14" s="2" t="s">
        <v>258</v>
      </c>
      <c r="B14" s="33"/>
      <c r="C14" s="34"/>
      <c r="D14" s="34"/>
      <c r="E14" s="34"/>
      <c r="F14" s="30"/>
    </row>
    <row r="16" spans="1:6" ht="18" customHeight="1" x14ac:dyDescent="0.25">
      <c r="A16" s="28" t="s">
        <v>259</v>
      </c>
      <c r="B16" s="26"/>
      <c r="C16" s="26"/>
      <c r="D16" s="26"/>
      <c r="E16" s="26"/>
      <c r="F16" s="26"/>
    </row>
    <row r="17" spans="1:6" x14ac:dyDescent="0.25">
      <c r="A17" s="3" t="s">
        <v>260</v>
      </c>
      <c r="B17" s="31" t="s">
        <v>261</v>
      </c>
      <c r="C17" s="30"/>
      <c r="D17" s="3" t="s">
        <v>262</v>
      </c>
      <c r="E17" s="31" t="s">
        <v>7</v>
      </c>
      <c r="F17" s="30"/>
    </row>
    <row r="18" spans="1:6" ht="24" customHeight="1" x14ac:dyDescent="0.25">
      <c r="A18" s="4" t="s">
        <v>263</v>
      </c>
      <c r="B18" s="29"/>
      <c r="C18" s="30"/>
      <c r="D18" s="5"/>
      <c r="E18" s="29"/>
      <c r="F18" s="30"/>
    </row>
    <row r="19" spans="1:6" ht="24" customHeight="1" x14ac:dyDescent="0.25">
      <c r="A19" s="4" t="s">
        <v>264</v>
      </c>
      <c r="B19" s="29"/>
      <c r="C19" s="30"/>
      <c r="D19" s="5"/>
      <c r="E19" s="29"/>
      <c r="F19" s="30"/>
    </row>
    <row r="20" spans="1:6" ht="24" customHeight="1" x14ac:dyDescent="0.25">
      <c r="A20" s="4" t="s">
        <v>265</v>
      </c>
      <c r="B20" s="29"/>
      <c r="C20" s="30"/>
      <c r="D20" s="5"/>
      <c r="E20" s="29"/>
      <c r="F20" s="30"/>
    </row>
    <row r="22" spans="1:6" ht="18" customHeight="1" x14ac:dyDescent="0.25">
      <c r="A22" s="28" t="s">
        <v>266</v>
      </c>
      <c r="B22" s="26"/>
      <c r="C22" s="26"/>
      <c r="D22" s="26"/>
      <c r="E22" s="26"/>
      <c r="F22" s="26"/>
    </row>
    <row r="23" spans="1:6" x14ac:dyDescent="0.25">
      <c r="A23" s="3" t="s">
        <v>267</v>
      </c>
      <c r="B23" s="3" t="s">
        <v>268</v>
      </c>
      <c r="C23" s="3" t="s">
        <v>15</v>
      </c>
      <c r="D23" s="3" t="s">
        <v>56</v>
      </c>
      <c r="E23" s="3" t="s">
        <v>269</v>
      </c>
      <c r="F23" s="3" t="s">
        <v>270</v>
      </c>
    </row>
    <row r="24" spans="1:6" x14ac:dyDescent="0.25">
      <c r="A24" s="6" t="s">
        <v>271</v>
      </c>
      <c r="B24" s="7">
        <v>23</v>
      </c>
      <c r="C24" s="7">
        <f>COUNTIF('Environment &amp; Platform'!F:F,"Pass")</f>
        <v>12</v>
      </c>
      <c r="D24" s="7">
        <f>COUNTIF('Environment &amp; Platform'!F:F,"Fail")</f>
        <v>0</v>
      </c>
      <c r="E24" s="7">
        <f>COUNTIF('Environment &amp; Platform'!F:F,"N/A")</f>
        <v>0</v>
      </c>
      <c r="F24" s="7">
        <f t="shared" ref="F24:F45" si="0">B24-C24-D24-E24</f>
        <v>11</v>
      </c>
    </row>
    <row r="25" spans="1:6" x14ac:dyDescent="0.25">
      <c r="A25" s="6" t="s">
        <v>272</v>
      </c>
      <c r="B25" s="7">
        <v>14</v>
      </c>
      <c r="C25" s="7">
        <f>COUNTIF('Plant Hierarchy'!F:F,"Pass")</f>
        <v>14</v>
      </c>
      <c r="D25" s="7">
        <f>COUNTIF('Plant Hierarchy'!F:F,"Fail")</f>
        <v>0</v>
      </c>
      <c r="E25" s="7">
        <f>COUNTIF('Plant Hierarchy'!F:F,"N/A")</f>
        <v>0</v>
      </c>
      <c r="F25" s="7">
        <f t="shared" si="0"/>
        <v>0</v>
      </c>
    </row>
    <row r="26" spans="1:6" x14ac:dyDescent="0.25">
      <c r="A26" s="6" t="s">
        <v>273</v>
      </c>
      <c r="B26" s="7">
        <v>7</v>
      </c>
      <c r="C26" s="7">
        <f>COUNTIF('Item Master'!F:F,"Pass")</f>
        <v>6</v>
      </c>
      <c r="D26" s="7">
        <f>COUNTIF('Item Master'!F:F,"Fail")</f>
        <v>1</v>
      </c>
      <c r="E26" s="7">
        <f>COUNTIF('Item Master'!F:F,"N/A")</f>
        <v>0</v>
      </c>
      <c r="F26" s="7">
        <f t="shared" si="0"/>
        <v>0</v>
      </c>
    </row>
    <row r="27" spans="1:6" x14ac:dyDescent="0.25">
      <c r="A27" s="6" t="s">
        <v>274</v>
      </c>
      <c r="B27" s="7">
        <v>11</v>
      </c>
      <c r="C27" s="7">
        <f>COUNTIF('Routes &amp; BOMs'!F:F,"Pass")</f>
        <v>11</v>
      </c>
      <c r="D27" s="7">
        <f>COUNTIF('Routes &amp; BOMs'!F:F,"Fail")</f>
        <v>0</v>
      </c>
      <c r="E27" s="7">
        <f>COUNTIF('Routes &amp; BOMs'!F:F,"N/A")</f>
        <v>0</v>
      </c>
      <c r="F27" s="7">
        <f t="shared" si="0"/>
        <v>0</v>
      </c>
    </row>
    <row r="28" spans="1:6" x14ac:dyDescent="0.25">
      <c r="A28" s="6" t="s">
        <v>275</v>
      </c>
      <c r="B28" s="7">
        <v>8</v>
      </c>
      <c r="C28" s="7">
        <f>COUNTIF('Op Templates &amp; Quality Specs'!F:F,"Pass")</f>
        <v>8</v>
      </c>
      <c r="D28" s="7">
        <f>COUNTIF('Op Templates &amp; Quality Specs'!F:F,"Fail")</f>
        <v>0</v>
      </c>
      <c r="E28" s="7">
        <f>COUNTIF('Op Templates &amp; Quality Specs'!F:F,"N/A")</f>
        <v>0</v>
      </c>
      <c r="F28" s="7">
        <f t="shared" si="0"/>
        <v>0</v>
      </c>
    </row>
    <row r="29" spans="1:6" x14ac:dyDescent="0.25">
      <c r="A29" s="6" t="s">
        <v>276</v>
      </c>
      <c r="B29" s="7">
        <v>7</v>
      </c>
      <c r="C29" s="7">
        <f>COUNTIF('Container Configs'!F:F,"Pass")</f>
        <v>5</v>
      </c>
      <c r="D29" s="7">
        <f>COUNTIF('Container Configs'!F:F,"Fail")</f>
        <v>0</v>
      </c>
      <c r="E29" s="7">
        <f>COUNTIF('Container Configs'!F:F,"N/A")</f>
        <v>1</v>
      </c>
      <c r="F29" s="7">
        <f t="shared" si="0"/>
        <v>1</v>
      </c>
    </row>
    <row r="30" spans="1:6" x14ac:dyDescent="0.25">
      <c r="A30" s="6" t="s">
        <v>277</v>
      </c>
      <c r="B30" s="7">
        <v>10</v>
      </c>
      <c r="C30" s="7">
        <f>COUNTIF('Code Tables'!F:F,"Pass")</f>
        <v>10</v>
      </c>
      <c r="D30" s="7">
        <f>COUNTIF('Code Tables'!F:F,"Fail")</f>
        <v>0</v>
      </c>
      <c r="E30" s="7">
        <f>COUNTIF('Code Tables'!F:F,"N/A")</f>
        <v>0</v>
      </c>
      <c r="F30" s="7">
        <f t="shared" si="0"/>
        <v>0</v>
      </c>
    </row>
    <row r="31" spans="1:6" x14ac:dyDescent="0.25">
      <c r="A31" s="6" t="s">
        <v>278</v>
      </c>
      <c r="B31" s="7">
        <v>6</v>
      </c>
      <c r="C31" s="7">
        <f>COUNTIF('Shift Schedules'!F:F,"Pass")</f>
        <v>6</v>
      </c>
      <c r="D31" s="7">
        <f>COUNTIF('Shift Schedules'!F:F,"Fail")</f>
        <v>0</v>
      </c>
      <c r="E31" s="7">
        <f>COUNTIF('Shift Schedules'!F:F,"N/A")</f>
        <v>0</v>
      </c>
      <c r="F31" s="7">
        <f t="shared" si="0"/>
        <v>0</v>
      </c>
    </row>
    <row r="32" spans="1:6" x14ac:dyDescent="0.25">
      <c r="A32" s="6" t="s">
        <v>279</v>
      </c>
      <c r="B32" s="7">
        <v>23</v>
      </c>
      <c r="C32" s="7">
        <f>COUNTIF('PLC Device Mapping'!F:F,"Pass")</f>
        <v>2</v>
      </c>
      <c r="D32" s="7">
        <f>COUNTIF('PLC Device Mapping'!F:F,"Fail")</f>
        <v>6</v>
      </c>
      <c r="E32" s="7">
        <f>COUNTIF('PLC Device Mapping'!F:F,"N/A")</f>
        <v>0</v>
      </c>
      <c r="F32" s="7">
        <f t="shared" si="0"/>
        <v>15</v>
      </c>
    </row>
    <row r="33" spans="1:6" x14ac:dyDescent="0.25">
      <c r="A33" s="6" t="s">
        <v>280</v>
      </c>
      <c r="B33" s="7">
        <v>18</v>
      </c>
      <c r="C33" s="7">
        <f>COUNTIF('Users &amp; Attribution'!F:F,"Pass")</f>
        <v>12</v>
      </c>
      <c r="D33" s="7">
        <f>COUNTIF('Users &amp; Attribution'!F:F,"Fail")</f>
        <v>0</v>
      </c>
      <c r="E33" s="7">
        <f>COUNTIF('Users &amp; Attribution'!F:F,"N/A")</f>
        <v>2</v>
      </c>
      <c r="F33" s="7">
        <f t="shared" si="0"/>
        <v>4</v>
      </c>
    </row>
    <row r="34" spans="1:6" x14ac:dyDescent="0.25">
      <c r="A34" s="6" t="s">
        <v>281</v>
      </c>
      <c r="B34" s="7">
        <v>15</v>
      </c>
      <c r="C34" s="7">
        <f>COUNTIF('Terminal &amp; Login'!F:F,"Pass")</f>
        <v>15</v>
      </c>
      <c r="D34" s="7">
        <f>COUNTIF('Terminal &amp; Login'!F:F,"Fail")</f>
        <v>0</v>
      </c>
      <c r="E34" s="7">
        <f>COUNTIF('Terminal &amp; Login'!F:F,"N/A")</f>
        <v>0</v>
      </c>
      <c r="F34" s="7">
        <f t="shared" si="0"/>
        <v>0</v>
      </c>
    </row>
    <row r="35" spans="1:6" x14ac:dyDescent="0.25">
      <c r="A35" s="6" t="s">
        <v>282</v>
      </c>
      <c r="B35" s="7">
        <v>16</v>
      </c>
      <c r="C35" s="7">
        <f>COUNTIF('Die Cast'!F:F,"Pass")</f>
        <v>15</v>
      </c>
      <c r="D35" s="7">
        <f>COUNTIF('Die Cast'!F:F,"Fail")</f>
        <v>0</v>
      </c>
      <c r="E35" s="7">
        <f>COUNTIF('Die Cast'!F:F,"N/A")</f>
        <v>0</v>
      </c>
      <c r="F35" s="7">
        <f t="shared" si="0"/>
        <v>1</v>
      </c>
    </row>
    <row r="36" spans="1:6" x14ac:dyDescent="0.25">
      <c r="A36" s="6" t="s">
        <v>283</v>
      </c>
      <c r="B36" s="7">
        <v>6</v>
      </c>
      <c r="C36" s="7">
        <f>COUNTIF(Trim!F:F,"Pass")</f>
        <v>6</v>
      </c>
      <c r="D36" s="7">
        <f>COUNTIF(Trim!F:F,"Fail")</f>
        <v>0</v>
      </c>
      <c r="E36" s="7">
        <f>COUNTIF(Trim!F:F,"N/A")</f>
        <v>0</v>
      </c>
      <c r="F36" s="7">
        <f t="shared" si="0"/>
        <v>0</v>
      </c>
    </row>
    <row r="37" spans="1:6" x14ac:dyDescent="0.25">
      <c r="A37" s="6" t="s">
        <v>284</v>
      </c>
      <c r="B37" s="7">
        <v>10</v>
      </c>
      <c r="C37" s="7">
        <f>COUNTIF(Machining!F:F,"Pass")</f>
        <v>10</v>
      </c>
      <c r="D37" s="7">
        <f>COUNTIF(Machining!F:F,"Fail")</f>
        <v>0</v>
      </c>
      <c r="E37" s="7">
        <f>COUNTIF(Machining!F:F,"N/A")</f>
        <v>0</v>
      </c>
      <c r="F37" s="7">
        <f t="shared" si="0"/>
        <v>0</v>
      </c>
    </row>
    <row r="38" spans="1:6" x14ac:dyDescent="0.25">
      <c r="A38" s="6" t="s">
        <v>285</v>
      </c>
      <c r="B38" s="7">
        <v>23</v>
      </c>
      <c r="C38" s="7">
        <f>COUNTIF(Assembly!F:F,"Pass")</f>
        <v>17</v>
      </c>
      <c r="D38" s="7">
        <f>COUNTIF(Assembly!F:F,"Fail")</f>
        <v>0</v>
      </c>
      <c r="E38" s="7">
        <f>COUNTIF(Assembly!F:F,"N/A")</f>
        <v>0</v>
      </c>
      <c r="F38" s="7">
        <f t="shared" si="0"/>
        <v>6</v>
      </c>
    </row>
    <row r="39" spans="1:6" x14ac:dyDescent="0.25">
      <c r="A39" s="6" t="s">
        <v>286</v>
      </c>
      <c r="B39" s="7">
        <v>4</v>
      </c>
      <c r="C39" s="7">
        <f>COUNTIF('Third-Party Inspection'!F:F,"Pass")</f>
        <v>1</v>
      </c>
      <c r="D39" s="7">
        <f>COUNTIF('Third-Party Inspection'!F:F,"Fail")</f>
        <v>0</v>
      </c>
      <c r="E39" s="7">
        <f>COUNTIF('Third-Party Inspection'!F:F,"N/A")</f>
        <v>0</v>
      </c>
      <c r="F39" s="7">
        <f t="shared" si="0"/>
        <v>3</v>
      </c>
    </row>
    <row r="40" spans="1:6" x14ac:dyDescent="0.25">
      <c r="A40" s="6" t="s">
        <v>287</v>
      </c>
      <c r="B40" s="7">
        <v>25</v>
      </c>
      <c r="C40" s="7">
        <f>COUNTIF('Quality Capture &amp; Holds'!F:F,"Pass")</f>
        <v>22</v>
      </c>
      <c r="D40" s="7">
        <f>COUNTIF('Quality Capture &amp; Holds'!F:F,"Fail")</f>
        <v>0</v>
      </c>
      <c r="E40" s="7">
        <f>COUNTIF('Quality Capture &amp; Holds'!F:F,"N/A")</f>
        <v>0</v>
      </c>
      <c r="F40" s="7">
        <f t="shared" si="0"/>
        <v>3</v>
      </c>
    </row>
    <row r="41" spans="1:6" x14ac:dyDescent="0.25">
      <c r="A41" s="6" t="s">
        <v>288</v>
      </c>
      <c r="B41" s="7">
        <v>22</v>
      </c>
      <c r="C41" s="7">
        <f>COUNTIF('Movements &amp; Inventory'!F:F,"Pass")</f>
        <v>18</v>
      </c>
      <c r="D41" s="7">
        <f>COUNTIF('Movements &amp; Inventory'!F:F,"Fail")</f>
        <v>0</v>
      </c>
      <c r="E41" s="7">
        <f>COUNTIF('Movements &amp; Inventory'!F:F,"N/A")</f>
        <v>0</v>
      </c>
      <c r="F41" s="7">
        <f t="shared" si="0"/>
        <v>4</v>
      </c>
    </row>
    <row r="42" spans="1:6" x14ac:dyDescent="0.25">
      <c r="A42" s="6" t="s">
        <v>289</v>
      </c>
      <c r="B42" s="7">
        <v>34</v>
      </c>
      <c r="C42" s="7">
        <f>COUNTIF('LOT Traceability &amp; Genealogy'!F:F,"Pass")</f>
        <v>24</v>
      </c>
      <c r="D42" s="7">
        <f>COUNTIF('LOT Traceability &amp; Genealogy'!F:F,"Fail")</f>
        <v>3</v>
      </c>
      <c r="E42" s="7">
        <f>COUNTIF('LOT Traceability &amp; Genealogy'!F:F,"N/A")</f>
        <v>0</v>
      </c>
      <c r="F42" s="7">
        <f t="shared" si="0"/>
        <v>7</v>
      </c>
    </row>
    <row r="43" spans="1:6" x14ac:dyDescent="0.25">
      <c r="A43" s="6" t="s">
        <v>290</v>
      </c>
      <c r="B43" s="7">
        <v>20</v>
      </c>
      <c r="C43" s="7">
        <f>COUNTIF('Shift &amp; Downtime'!F:F,"Pass")</f>
        <v>17</v>
      </c>
      <c r="D43" s="7">
        <f>COUNTIF('Shift &amp; Downtime'!F:F,"Fail")</f>
        <v>0</v>
      </c>
      <c r="E43" s="7">
        <f>COUNTIF('Shift &amp; Downtime'!F:F,"N/A")</f>
        <v>0</v>
      </c>
      <c r="F43" s="7">
        <f t="shared" si="0"/>
        <v>3</v>
      </c>
    </row>
    <row r="44" spans="1:6" x14ac:dyDescent="0.25">
      <c r="A44" s="6" t="s">
        <v>291</v>
      </c>
      <c r="B44" s="7">
        <v>18</v>
      </c>
      <c r="C44" s="7">
        <f>COUNTIF('Labels &amp; Printing'!F:F,"Pass")</f>
        <v>11</v>
      </c>
      <c r="D44" s="7">
        <f>COUNTIF('Labels &amp; Printing'!F:F,"Fail")</f>
        <v>0</v>
      </c>
      <c r="E44" s="7">
        <f>COUNTIF('Labels &amp; Printing'!F:F,"N/A")</f>
        <v>0</v>
      </c>
      <c r="F44" s="7">
        <f t="shared" si="0"/>
        <v>7</v>
      </c>
    </row>
    <row r="45" spans="1:6" x14ac:dyDescent="0.25">
      <c r="A45" s="6" t="s">
        <v>292</v>
      </c>
      <c r="B45" s="7">
        <v>13</v>
      </c>
      <c r="C45" s="7">
        <f>COUNTIF('Audit Browser'!F:F,"Pass")</f>
        <v>11</v>
      </c>
      <c r="D45" s="7">
        <f>COUNTIF('Audit Browser'!F:F,"Fail")</f>
        <v>0</v>
      </c>
      <c r="E45" s="7">
        <f>COUNTIF('Audit Browser'!F:F,"N/A")</f>
        <v>0</v>
      </c>
      <c r="F45" s="7">
        <f t="shared" si="0"/>
        <v>2</v>
      </c>
    </row>
    <row r="46" spans="1:6" x14ac:dyDescent="0.25">
      <c r="A46" s="24" t="s">
        <v>293</v>
      </c>
      <c r="B46">
        <f>SUM(B24:B45)</f>
        <v>333</v>
      </c>
      <c r="C46">
        <f>SUM(C24:C45)</f>
        <v>253</v>
      </c>
      <c r="D46">
        <f>SUM(D24:D45)</f>
        <v>10</v>
      </c>
      <c r="E46">
        <f>SUM(E24:E45)</f>
        <v>3</v>
      </c>
      <c r="F46">
        <f>SUM(F24:F45)</f>
        <v>67</v>
      </c>
    </row>
  </sheetData>
  <mergeCells count="22">
    <mergeCell ref="A1:F1"/>
    <mergeCell ref="B20:C20"/>
    <mergeCell ref="B5:F5"/>
    <mergeCell ref="E18:F18"/>
    <mergeCell ref="A22:F22"/>
    <mergeCell ref="B14:F14"/>
    <mergeCell ref="B8:F8"/>
    <mergeCell ref="B17:C17"/>
    <mergeCell ref="B13:F13"/>
    <mergeCell ref="A10:F10"/>
    <mergeCell ref="B19:C19"/>
    <mergeCell ref="A2:F2"/>
    <mergeCell ref="B12:F12"/>
    <mergeCell ref="E20:F20"/>
    <mergeCell ref="B11:F11"/>
    <mergeCell ref="E19:F19"/>
    <mergeCell ref="B6:F6"/>
    <mergeCell ref="B4:F4"/>
    <mergeCell ref="A16:F16"/>
    <mergeCell ref="B7:F7"/>
    <mergeCell ref="B18:C18"/>
    <mergeCell ref="E17:F17"/>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43"/>
  <sheetViews>
    <sheetView workbookViewId="0">
      <pane ySplit="1" topLeftCell="A230" activePane="bottomLeft" state="frozen"/>
      <selection pane="bottomLeft"/>
    </sheetView>
  </sheetViews>
  <sheetFormatPr defaultRowHeight="15" x14ac:dyDescent="0.25"/>
  <cols>
    <col min="1" max="1" width="12" customWidth="1"/>
    <col min="2" max="2" width="46" customWidth="1"/>
    <col min="3" max="3" width="26" customWidth="1"/>
    <col min="4" max="4" width="24" customWidth="1"/>
    <col min="5" max="5" width="14" customWidth="1"/>
    <col min="6" max="6" width="16" customWidth="1"/>
    <col min="7" max="7" width="30" customWidth="1"/>
    <col min="8" max="8" width="15" customWidth="1"/>
  </cols>
  <sheetData>
    <row r="1" spans="1:8" ht="20.100000000000001" customHeight="1" x14ac:dyDescent="0.25">
      <c r="A1" s="8" t="s">
        <v>294</v>
      </c>
      <c r="B1" s="8" t="s">
        <v>295</v>
      </c>
      <c r="C1" s="8" t="s">
        <v>296</v>
      </c>
      <c r="D1" s="8" t="s">
        <v>267</v>
      </c>
      <c r="E1" s="8" t="s">
        <v>246</v>
      </c>
      <c r="F1" s="8" t="s">
        <v>297</v>
      </c>
      <c r="G1" s="8" t="s">
        <v>298</v>
      </c>
      <c r="H1" s="8" t="s">
        <v>299</v>
      </c>
    </row>
    <row r="2" spans="1:8" ht="16.7" customHeight="1" x14ac:dyDescent="0.25">
      <c r="A2" s="9" t="s">
        <v>300</v>
      </c>
      <c r="B2" s="10" t="s">
        <v>301</v>
      </c>
      <c r="C2" s="11" t="s">
        <v>302</v>
      </c>
      <c r="D2" s="11" t="s">
        <v>271</v>
      </c>
      <c r="E2" s="11" t="s">
        <v>303</v>
      </c>
      <c r="F2" s="11"/>
      <c r="G2" s="10" t="s">
        <v>304</v>
      </c>
      <c r="H2" s="12" t="s">
        <v>305</v>
      </c>
    </row>
    <row r="3" spans="1:8" ht="16.7" customHeight="1" x14ac:dyDescent="0.25">
      <c r="A3" s="9" t="s">
        <v>306</v>
      </c>
      <c r="B3" s="10" t="s">
        <v>307</v>
      </c>
      <c r="C3" s="11" t="s">
        <v>302</v>
      </c>
      <c r="D3" s="11" t="s">
        <v>271</v>
      </c>
      <c r="E3" s="11" t="s">
        <v>303</v>
      </c>
      <c r="F3" s="11"/>
      <c r="G3" s="10" t="s">
        <v>308</v>
      </c>
      <c r="H3" s="12" t="s">
        <v>309</v>
      </c>
    </row>
    <row r="4" spans="1:8" ht="16.7" customHeight="1" x14ac:dyDescent="0.25">
      <c r="A4" s="9" t="s">
        <v>310</v>
      </c>
      <c r="B4" s="10" t="s">
        <v>311</v>
      </c>
      <c r="C4" s="11" t="s">
        <v>302</v>
      </c>
      <c r="D4" s="11" t="s">
        <v>271</v>
      </c>
      <c r="E4" s="11" t="s">
        <v>303</v>
      </c>
      <c r="F4" s="11"/>
      <c r="G4" s="10" t="s">
        <v>312</v>
      </c>
      <c r="H4" s="12" t="s">
        <v>309</v>
      </c>
    </row>
    <row r="5" spans="1:8" ht="16.7" customHeight="1" x14ac:dyDescent="0.25">
      <c r="A5" s="9" t="s">
        <v>313</v>
      </c>
      <c r="B5" s="10" t="s">
        <v>314</v>
      </c>
      <c r="C5" s="11" t="s">
        <v>302</v>
      </c>
      <c r="D5" s="11" t="s">
        <v>271</v>
      </c>
      <c r="E5" s="11" t="s">
        <v>303</v>
      </c>
      <c r="F5" s="11"/>
      <c r="G5" s="10" t="s">
        <v>315</v>
      </c>
      <c r="H5" s="12" t="s">
        <v>309</v>
      </c>
    </row>
    <row r="6" spans="1:8" ht="16.7" customHeight="1" x14ac:dyDescent="0.25">
      <c r="A6" s="9" t="s">
        <v>316</v>
      </c>
      <c r="B6" s="10" t="s">
        <v>317</v>
      </c>
      <c r="C6" s="11" t="s">
        <v>318</v>
      </c>
      <c r="D6" s="11" t="s">
        <v>271</v>
      </c>
      <c r="E6" s="11" t="s">
        <v>303</v>
      </c>
      <c r="F6" s="11" t="s">
        <v>319</v>
      </c>
      <c r="G6" s="10" t="s">
        <v>320</v>
      </c>
      <c r="H6" s="12" t="s">
        <v>309</v>
      </c>
    </row>
    <row r="7" spans="1:8" ht="16.7" customHeight="1" x14ac:dyDescent="0.25">
      <c r="A7" s="9" t="s">
        <v>321</v>
      </c>
      <c r="B7" s="10" t="s">
        <v>322</v>
      </c>
      <c r="C7" s="11" t="s">
        <v>318</v>
      </c>
      <c r="D7" s="11" t="s">
        <v>271</v>
      </c>
      <c r="E7" s="11" t="s">
        <v>303</v>
      </c>
      <c r="F7" s="11" t="s">
        <v>323</v>
      </c>
      <c r="G7" s="10" t="s">
        <v>324</v>
      </c>
      <c r="H7" s="12" t="s">
        <v>309</v>
      </c>
    </row>
    <row r="8" spans="1:8" ht="16.7" customHeight="1" x14ac:dyDescent="0.25">
      <c r="A8" s="9" t="s">
        <v>325</v>
      </c>
      <c r="B8" s="10" t="s">
        <v>326</v>
      </c>
      <c r="C8" s="11" t="s">
        <v>318</v>
      </c>
      <c r="D8" s="11" t="s">
        <v>271</v>
      </c>
      <c r="E8" s="11" t="s">
        <v>303</v>
      </c>
      <c r="F8" s="11" t="s">
        <v>327</v>
      </c>
      <c r="G8" s="10" t="s">
        <v>328</v>
      </c>
      <c r="H8" s="12" t="s">
        <v>309</v>
      </c>
    </row>
    <row r="9" spans="1:8" ht="16.7" customHeight="1" x14ac:dyDescent="0.25">
      <c r="A9" s="9" t="s">
        <v>329</v>
      </c>
      <c r="B9" s="10" t="s">
        <v>330</v>
      </c>
      <c r="C9" s="11" t="s">
        <v>318</v>
      </c>
      <c r="D9" s="11" t="s">
        <v>271</v>
      </c>
      <c r="E9" s="11" t="s">
        <v>303</v>
      </c>
      <c r="F9" s="11"/>
      <c r="G9" s="10" t="s">
        <v>331</v>
      </c>
      <c r="H9" s="12" t="s">
        <v>305</v>
      </c>
    </row>
    <row r="10" spans="1:8" ht="16.7" customHeight="1" x14ac:dyDescent="0.25">
      <c r="A10" s="9" t="s">
        <v>332</v>
      </c>
      <c r="B10" s="10" t="s">
        <v>333</v>
      </c>
      <c r="C10" s="11" t="s">
        <v>334</v>
      </c>
      <c r="D10" s="11" t="s">
        <v>271</v>
      </c>
      <c r="E10" s="11" t="s">
        <v>303</v>
      </c>
      <c r="F10" s="11"/>
      <c r="G10" s="10" t="s">
        <v>335</v>
      </c>
      <c r="H10" s="12" t="s">
        <v>309</v>
      </c>
    </row>
    <row r="11" spans="1:8" ht="16.7" customHeight="1" x14ac:dyDescent="0.25">
      <c r="A11" s="9" t="s">
        <v>336</v>
      </c>
      <c r="B11" s="10" t="s">
        <v>337</v>
      </c>
      <c r="C11" s="11" t="s">
        <v>334</v>
      </c>
      <c r="D11" s="11" t="s">
        <v>271</v>
      </c>
      <c r="E11" s="11" t="s">
        <v>303</v>
      </c>
      <c r="F11" s="11"/>
      <c r="G11" s="10" t="s">
        <v>338</v>
      </c>
      <c r="H11" s="12" t="s">
        <v>309</v>
      </c>
    </row>
    <row r="12" spans="1:8" ht="16.7" customHeight="1" x14ac:dyDescent="0.25">
      <c r="A12" s="9" t="s">
        <v>339</v>
      </c>
      <c r="B12" s="10" t="s">
        <v>340</v>
      </c>
      <c r="C12" s="11" t="s">
        <v>341</v>
      </c>
      <c r="D12" s="11" t="s">
        <v>271</v>
      </c>
      <c r="E12" s="11" t="s">
        <v>303</v>
      </c>
      <c r="F12" s="11" t="s">
        <v>342</v>
      </c>
      <c r="G12" s="10" t="s">
        <v>343</v>
      </c>
      <c r="H12" s="12" t="s">
        <v>305</v>
      </c>
    </row>
    <row r="13" spans="1:8" ht="16.7" customHeight="1" x14ac:dyDescent="0.25">
      <c r="A13" s="9" t="s">
        <v>344</v>
      </c>
      <c r="B13" s="10" t="s">
        <v>345</v>
      </c>
      <c r="C13" s="11" t="s">
        <v>341</v>
      </c>
      <c r="D13" s="11" t="s">
        <v>271</v>
      </c>
      <c r="E13" s="11" t="s">
        <v>303</v>
      </c>
      <c r="F13" s="11"/>
      <c r="G13" s="10" t="s">
        <v>346</v>
      </c>
      <c r="H13" s="12" t="s">
        <v>309</v>
      </c>
    </row>
    <row r="14" spans="1:8" ht="16.7" customHeight="1" x14ac:dyDescent="0.25">
      <c r="A14" s="9" t="s">
        <v>347</v>
      </c>
      <c r="B14" s="10" t="s">
        <v>348</v>
      </c>
      <c r="C14" s="11" t="s">
        <v>341</v>
      </c>
      <c r="D14" s="11" t="s">
        <v>271</v>
      </c>
      <c r="E14" s="11" t="s">
        <v>303</v>
      </c>
      <c r="F14" s="11"/>
      <c r="G14" s="10" t="s">
        <v>349</v>
      </c>
      <c r="H14" s="12" t="s">
        <v>309</v>
      </c>
    </row>
    <row r="15" spans="1:8" ht="29.25" customHeight="1" x14ac:dyDescent="0.25">
      <c r="A15" s="9" t="s">
        <v>350</v>
      </c>
      <c r="B15" s="10" t="s">
        <v>351</v>
      </c>
      <c r="C15" s="11" t="s">
        <v>341</v>
      </c>
      <c r="D15" s="11" t="s">
        <v>271</v>
      </c>
      <c r="E15" s="11" t="s">
        <v>303</v>
      </c>
      <c r="F15" s="11"/>
      <c r="G15" s="10" t="s">
        <v>352</v>
      </c>
      <c r="H15" s="12" t="s">
        <v>305</v>
      </c>
    </row>
    <row r="16" spans="1:8" ht="16.7" customHeight="1" x14ac:dyDescent="0.25">
      <c r="A16" s="9" t="s">
        <v>353</v>
      </c>
      <c r="B16" s="10" t="s">
        <v>354</v>
      </c>
      <c r="C16" s="11" t="s">
        <v>355</v>
      </c>
      <c r="D16" s="11" t="s">
        <v>272</v>
      </c>
      <c r="E16" s="11" t="s">
        <v>303</v>
      </c>
      <c r="F16" s="11"/>
      <c r="G16" s="10" t="s">
        <v>356</v>
      </c>
      <c r="H16" s="12" t="s">
        <v>305</v>
      </c>
    </row>
    <row r="17" spans="1:8" ht="16.7" customHeight="1" x14ac:dyDescent="0.25">
      <c r="A17" s="9" t="s">
        <v>357</v>
      </c>
      <c r="B17" s="10" t="s">
        <v>358</v>
      </c>
      <c r="C17" s="11" t="s">
        <v>355</v>
      </c>
      <c r="D17" s="11" t="s">
        <v>272</v>
      </c>
      <c r="E17" s="11" t="s">
        <v>303</v>
      </c>
      <c r="F17" s="11"/>
      <c r="G17" s="10" t="s">
        <v>359</v>
      </c>
      <c r="H17" s="12" t="s">
        <v>305</v>
      </c>
    </row>
    <row r="18" spans="1:8" ht="16.7" customHeight="1" x14ac:dyDescent="0.25">
      <c r="A18" s="9" t="s">
        <v>360</v>
      </c>
      <c r="B18" s="10" t="s">
        <v>361</v>
      </c>
      <c r="C18" s="11" t="s">
        <v>355</v>
      </c>
      <c r="D18" s="11" t="s">
        <v>272</v>
      </c>
      <c r="E18" s="11" t="s">
        <v>303</v>
      </c>
      <c r="F18" s="11" t="s">
        <v>362</v>
      </c>
      <c r="G18" s="10" t="s">
        <v>363</v>
      </c>
      <c r="H18" s="12" t="s">
        <v>309</v>
      </c>
    </row>
    <row r="19" spans="1:8" ht="16.7" customHeight="1" x14ac:dyDescent="0.25">
      <c r="A19" s="9" t="s">
        <v>364</v>
      </c>
      <c r="B19" s="10" t="s">
        <v>365</v>
      </c>
      <c r="C19" s="11" t="s">
        <v>366</v>
      </c>
      <c r="D19" s="11" t="s">
        <v>272</v>
      </c>
      <c r="E19" s="11" t="s">
        <v>303</v>
      </c>
      <c r="F19" s="11"/>
      <c r="G19" s="10" t="s">
        <v>367</v>
      </c>
      <c r="H19" s="12" t="s">
        <v>305</v>
      </c>
    </row>
    <row r="20" spans="1:8" ht="16.7" customHeight="1" x14ac:dyDescent="0.25">
      <c r="A20" s="9" t="s">
        <v>368</v>
      </c>
      <c r="B20" s="10" t="s">
        <v>369</v>
      </c>
      <c r="C20" s="11" t="s">
        <v>366</v>
      </c>
      <c r="D20" s="11" t="s">
        <v>272</v>
      </c>
      <c r="E20" s="11" t="s">
        <v>303</v>
      </c>
      <c r="F20" s="11"/>
      <c r="G20" s="10" t="s">
        <v>370</v>
      </c>
      <c r="H20" s="12" t="s">
        <v>309</v>
      </c>
    </row>
    <row r="21" spans="1:8" ht="16.7" customHeight="1" x14ac:dyDescent="0.25">
      <c r="A21" s="9" t="s">
        <v>371</v>
      </c>
      <c r="B21" s="10" t="s">
        <v>372</v>
      </c>
      <c r="C21" s="11" t="s">
        <v>366</v>
      </c>
      <c r="D21" s="11" t="s">
        <v>272</v>
      </c>
      <c r="E21" s="11" t="s">
        <v>303</v>
      </c>
      <c r="F21" s="11"/>
      <c r="G21" s="10" t="s">
        <v>373</v>
      </c>
      <c r="H21" s="12" t="s">
        <v>309</v>
      </c>
    </row>
    <row r="22" spans="1:8" ht="16.7" customHeight="1" x14ac:dyDescent="0.25">
      <c r="A22" s="9" t="s">
        <v>374</v>
      </c>
      <c r="B22" s="10" t="s">
        <v>375</v>
      </c>
      <c r="C22" s="11" t="s">
        <v>376</v>
      </c>
      <c r="D22" s="11" t="s">
        <v>272</v>
      </c>
      <c r="E22" s="11" t="s">
        <v>303</v>
      </c>
      <c r="F22" s="11"/>
      <c r="G22" s="10" t="s">
        <v>377</v>
      </c>
      <c r="H22" s="12" t="s">
        <v>309</v>
      </c>
    </row>
    <row r="23" spans="1:8" ht="29.25" customHeight="1" x14ac:dyDescent="0.25">
      <c r="A23" s="9" t="s">
        <v>378</v>
      </c>
      <c r="B23" s="10" t="s">
        <v>379</v>
      </c>
      <c r="C23" s="11" t="s">
        <v>380</v>
      </c>
      <c r="D23" s="11" t="s">
        <v>281</v>
      </c>
      <c r="E23" s="11" t="s">
        <v>303</v>
      </c>
      <c r="F23" s="11"/>
      <c r="G23" s="10" t="s">
        <v>381</v>
      </c>
      <c r="H23" s="12" t="s">
        <v>382</v>
      </c>
    </row>
    <row r="24" spans="1:8" ht="29.25" customHeight="1" x14ac:dyDescent="0.25">
      <c r="A24" s="9" t="s">
        <v>383</v>
      </c>
      <c r="B24" s="10" t="s">
        <v>384</v>
      </c>
      <c r="C24" s="11" t="s">
        <v>380</v>
      </c>
      <c r="D24" s="11" t="s">
        <v>281</v>
      </c>
      <c r="E24" s="11" t="s">
        <v>303</v>
      </c>
      <c r="F24" s="11"/>
      <c r="G24" s="10" t="s">
        <v>385</v>
      </c>
      <c r="H24" s="12" t="s">
        <v>386</v>
      </c>
    </row>
    <row r="25" spans="1:8" ht="29.25" customHeight="1" x14ac:dyDescent="0.25">
      <c r="A25" s="9" t="s">
        <v>387</v>
      </c>
      <c r="B25" s="10" t="s">
        <v>388</v>
      </c>
      <c r="C25" s="11" t="s">
        <v>380</v>
      </c>
      <c r="D25" s="11" t="s">
        <v>281</v>
      </c>
      <c r="E25" s="11" t="s">
        <v>303</v>
      </c>
      <c r="F25" s="11"/>
      <c r="G25" s="10" t="s">
        <v>389</v>
      </c>
      <c r="H25" s="12" t="s">
        <v>305</v>
      </c>
    </row>
    <row r="26" spans="1:8" ht="16.7" customHeight="1" x14ac:dyDescent="0.25">
      <c r="A26" s="9" t="s">
        <v>390</v>
      </c>
      <c r="B26" s="10" t="s">
        <v>391</v>
      </c>
      <c r="C26" s="11" t="s">
        <v>380</v>
      </c>
      <c r="D26" s="11" t="s">
        <v>281</v>
      </c>
      <c r="E26" s="11" t="s">
        <v>303</v>
      </c>
      <c r="F26" s="11"/>
      <c r="G26" s="10" t="s">
        <v>392</v>
      </c>
      <c r="H26" s="12" t="s">
        <v>305</v>
      </c>
    </row>
    <row r="27" spans="1:8" ht="29.25" customHeight="1" x14ac:dyDescent="0.25">
      <c r="A27" s="9" t="s">
        <v>393</v>
      </c>
      <c r="B27" s="10" t="s">
        <v>394</v>
      </c>
      <c r="C27" s="11" t="s">
        <v>380</v>
      </c>
      <c r="D27" s="11" t="s">
        <v>281</v>
      </c>
      <c r="E27" s="11" t="s">
        <v>303</v>
      </c>
      <c r="F27" s="11"/>
      <c r="G27" s="10" t="s">
        <v>395</v>
      </c>
      <c r="H27" s="12" t="s">
        <v>386</v>
      </c>
    </row>
    <row r="28" spans="1:8" ht="16.7" customHeight="1" x14ac:dyDescent="0.25">
      <c r="A28" s="9" t="s">
        <v>396</v>
      </c>
      <c r="B28" s="10" t="s">
        <v>397</v>
      </c>
      <c r="C28" s="11" t="s">
        <v>380</v>
      </c>
      <c r="D28" s="11" t="s">
        <v>281</v>
      </c>
      <c r="E28" s="11" t="s">
        <v>303</v>
      </c>
      <c r="F28" s="11"/>
      <c r="G28" s="10" t="s">
        <v>398</v>
      </c>
      <c r="H28" s="12" t="s">
        <v>309</v>
      </c>
    </row>
    <row r="29" spans="1:8" ht="16.7" customHeight="1" x14ac:dyDescent="0.25">
      <c r="A29" s="9" t="s">
        <v>399</v>
      </c>
      <c r="B29" s="10" t="s">
        <v>400</v>
      </c>
      <c r="C29" s="11" t="s">
        <v>380</v>
      </c>
      <c r="D29" s="11" t="s">
        <v>281</v>
      </c>
      <c r="E29" s="11" t="s">
        <v>401</v>
      </c>
      <c r="F29" s="11"/>
      <c r="G29" s="10"/>
      <c r="H29" s="13" t="s">
        <v>402</v>
      </c>
    </row>
    <row r="30" spans="1:8" ht="41.85" customHeight="1" x14ac:dyDescent="0.25">
      <c r="A30" s="9" t="s">
        <v>403</v>
      </c>
      <c r="B30" s="10" t="s">
        <v>404</v>
      </c>
      <c r="C30" s="11" t="s">
        <v>405</v>
      </c>
      <c r="D30" s="11" t="s">
        <v>273</v>
      </c>
      <c r="E30" s="11" t="s">
        <v>303</v>
      </c>
      <c r="F30" s="11"/>
      <c r="G30" s="10" t="s">
        <v>406</v>
      </c>
      <c r="H30" s="12" t="s">
        <v>407</v>
      </c>
    </row>
    <row r="31" spans="1:8" ht="16.7" customHeight="1" x14ac:dyDescent="0.25">
      <c r="A31" s="9" t="s">
        <v>408</v>
      </c>
      <c r="B31" s="10" t="s">
        <v>409</v>
      </c>
      <c r="C31" s="11" t="s">
        <v>405</v>
      </c>
      <c r="D31" s="11" t="s">
        <v>273</v>
      </c>
      <c r="E31" s="11" t="s">
        <v>303</v>
      </c>
      <c r="F31" s="11"/>
      <c r="G31" s="10" t="s">
        <v>410</v>
      </c>
      <c r="H31" s="12" t="s">
        <v>309</v>
      </c>
    </row>
    <row r="32" spans="1:8" ht="16.7" customHeight="1" x14ac:dyDescent="0.25">
      <c r="A32" s="9" t="s">
        <v>411</v>
      </c>
      <c r="B32" s="10" t="s">
        <v>412</v>
      </c>
      <c r="C32" s="11" t="s">
        <v>405</v>
      </c>
      <c r="D32" s="11" t="s">
        <v>273</v>
      </c>
      <c r="E32" s="11" t="s">
        <v>303</v>
      </c>
      <c r="F32" s="11"/>
      <c r="G32" s="10" t="s">
        <v>413</v>
      </c>
      <c r="H32" s="12" t="s">
        <v>309</v>
      </c>
    </row>
    <row r="33" spans="1:8" ht="16.7" customHeight="1" x14ac:dyDescent="0.25">
      <c r="A33" s="9" t="s">
        <v>414</v>
      </c>
      <c r="B33" s="10" t="s">
        <v>415</v>
      </c>
      <c r="C33" s="11" t="s">
        <v>416</v>
      </c>
      <c r="D33" s="11" t="s">
        <v>274</v>
      </c>
      <c r="E33" s="11" t="s">
        <v>303</v>
      </c>
      <c r="F33" s="11" t="s">
        <v>417</v>
      </c>
      <c r="G33" s="10" t="s">
        <v>418</v>
      </c>
      <c r="H33" s="12" t="s">
        <v>305</v>
      </c>
    </row>
    <row r="34" spans="1:8" ht="16.7" customHeight="1" x14ac:dyDescent="0.25">
      <c r="A34" s="9" t="s">
        <v>419</v>
      </c>
      <c r="B34" s="10" t="s">
        <v>420</v>
      </c>
      <c r="C34" s="11" t="s">
        <v>416</v>
      </c>
      <c r="D34" s="11" t="s">
        <v>274</v>
      </c>
      <c r="E34" s="11" t="s">
        <v>303</v>
      </c>
      <c r="F34" s="11"/>
      <c r="G34" s="10" t="s">
        <v>421</v>
      </c>
      <c r="H34" s="12" t="s">
        <v>305</v>
      </c>
    </row>
    <row r="35" spans="1:8" ht="16.7" customHeight="1" x14ac:dyDescent="0.25">
      <c r="A35" s="9" t="s">
        <v>422</v>
      </c>
      <c r="B35" s="10" t="s">
        <v>423</v>
      </c>
      <c r="C35" s="11" t="s">
        <v>416</v>
      </c>
      <c r="D35" s="11" t="s">
        <v>274</v>
      </c>
      <c r="E35" s="11" t="s">
        <v>303</v>
      </c>
      <c r="F35" s="11"/>
      <c r="G35" s="10" t="s">
        <v>424</v>
      </c>
      <c r="H35" s="12" t="s">
        <v>309</v>
      </c>
    </row>
    <row r="36" spans="1:8" ht="16.7" customHeight="1" x14ac:dyDescent="0.25">
      <c r="A36" s="9" t="s">
        <v>425</v>
      </c>
      <c r="B36" s="10" t="s">
        <v>426</v>
      </c>
      <c r="C36" s="11" t="s">
        <v>427</v>
      </c>
      <c r="D36" s="11" t="s">
        <v>274</v>
      </c>
      <c r="E36" s="11" t="s">
        <v>303</v>
      </c>
      <c r="F36" s="11" t="s">
        <v>428</v>
      </c>
      <c r="G36" s="10" t="s">
        <v>429</v>
      </c>
      <c r="H36" s="12" t="s">
        <v>309</v>
      </c>
    </row>
    <row r="37" spans="1:8" ht="16.7" customHeight="1" x14ac:dyDescent="0.25">
      <c r="A37" s="9" t="s">
        <v>430</v>
      </c>
      <c r="B37" s="10" t="s">
        <v>431</v>
      </c>
      <c r="C37" s="11" t="s">
        <v>427</v>
      </c>
      <c r="D37" s="11" t="s">
        <v>274</v>
      </c>
      <c r="E37" s="11" t="s">
        <v>303</v>
      </c>
      <c r="F37" s="11"/>
      <c r="G37" s="10" t="s">
        <v>432</v>
      </c>
      <c r="H37" s="12" t="s">
        <v>305</v>
      </c>
    </row>
    <row r="38" spans="1:8" ht="16.7" customHeight="1" x14ac:dyDescent="0.25">
      <c r="A38" s="9" t="s">
        <v>433</v>
      </c>
      <c r="B38" s="10" t="s">
        <v>434</v>
      </c>
      <c r="C38" s="11" t="s">
        <v>427</v>
      </c>
      <c r="D38" s="11" t="s">
        <v>274</v>
      </c>
      <c r="E38" s="11" t="s">
        <v>303</v>
      </c>
      <c r="F38" s="11"/>
      <c r="G38" s="10" t="s">
        <v>435</v>
      </c>
      <c r="H38" s="12" t="s">
        <v>309</v>
      </c>
    </row>
    <row r="39" spans="1:8" ht="16.7" customHeight="1" x14ac:dyDescent="0.25">
      <c r="A39" s="9" t="s">
        <v>436</v>
      </c>
      <c r="B39" s="10" t="s">
        <v>437</v>
      </c>
      <c r="C39" s="11" t="s">
        <v>427</v>
      </c>
      <c r="D39" s="11" t="s">
        <v>274</v>
      </c>
      <c r="E39" s="11" t="s">
        <v>303</v>
      </c>
      <c r="F39" s="11"/>
      <c r="G39" s="10" t="s">
        <v>438</v>
      </c>
      <c r="H39" s="12" t="s">
        <v>309</v>
      </c>
    </row>
    <row r="40" spans="1:8" ht="16.7" customHeight="1" x14ac:dyDescent="0.25">
      <c r="A40" s="9" t="s">
        <v>439</v>
      </c>
      <c r="B40" s="10" t="s">
        <v>440</v>
      </c>
      <c r="C40" s="11" t="s">
        <v>427</v>
      </c>
      <c r="D40" s="11" t="s">
        <v>274</v>
      </c>
      <c r="E40" s="11" t="s">
        <v>303</v>
      </c>
      <c r="F40" s="11" t="s">
        <v>441</v>
      </c>
      <c r="G40" s="10" t="s">
        <v>442</v>
      </c>
      <c r="H40" s="12" t="s">
        <v>309</v>
      </c>
    </row>
    <row r="41" spans="1:8" ht="29.25" customHeight="1" x14ac:dyDescent="0.25">
      <c r="A41" s="9" t="s">
        <v>443</v>
      </c>
      <c r="B41" s="10" t="s">
        <v>444</v>
      </c>
      <c r="C41" s="11" t="s">
        <v>445</v>
      </c>
      <c r="D41" s="11" t="s">
        <v>275</v>
      </c>
      <c r="E41" s="11" t="s">
        <v>303</v>
      </c>
      <c r="F41" s="11"/>
      <c r="G41" s="10" t="s">
        <v>446</v>
      </c>
      <c r="H41" s="12" t="s">
        <v>386</v>
      </c>
    </row>
    <row r="42" spans="1:8" ht="16.7" customHeight="1" x14ac:dyDescent="0.25">
      <c r="A42" s="9" t="s">
        <v>447</v>
      </c>
      <c r="B42" s="10" t="s">
        <v>448</v>
      </c>
      <c r="C42" s="11" t="s">
        <v>445</v>
      </c>
      <c r="D42" s="11" t="s">
        <v>275</v>
      </c>
      <c r="E42" s="11" t="s">
        <v>303</v>
      </c>
      <c r="F42" s="11" t="s">
        <v>449</v>
      </c>
      <c r="G42" s="10" t="s">
        <v>450</v>
      </c>
      <c r="H42" s="12" t="s">
        <v>309</v>
      </c>
    </row>
    <row r="43" spans="1:8" ht="16.7" customHeight="1" x14ac:dyDescent="0.25">
      <c r="A43" s="9" t="s">
        <v>451</v>
      </c>
      <c r="B43" s="10" t="s">
        <v>452</v>
      </c>
      <c r="C43" s="11" t="s">
        <v>453</v>
      </c>
      <c r="D43" s="11" t="s">
        <v>272</v>
      </c>
      <c r="E43" s="11" t="s">
        <v>303</v>
      </c>
      <c r="F43" s="11" t="s">
        <v>454</v>
      </c>
      <c r="G43" s="10" t="s">
        <v>455</v>
      </c>
      <c r="H43" s="12" t="s">
        <v>305</v>
      </c>
    </row>
    <row r="44" spans="1:8" ht="16.7" customHeight="1" x14ac:dyDescent="0.25">
      <c r="A44" s="9" t="s">
        <v>456</v>
      </c>
      <c r="B44" s="10" t="s">
        <v>457</v>
      </c>
      <c r="C44" s="11" t="s">
        <v>453</v>
      </c>
      <c r="D44" s="11" t="s">
        <v>272</v>
      </c>
      <c r="E44" s="11" t="s">
        <v>303</v>
      </c>
      <c r="F44" s="11"/>
      <c r="G44" s="10" t="s">
        <v>458</v>
      </c>
      <c r="H44" s="12" t="s">
        <v>309</v>
      </c>
    </row>
    <row r="45" spans="1:8" ht="29.25" customHeight="1" x14ac:dyDescent="0.25">
      <c r="A45" s="9" t="s">
        <v>459</v>
      </c>
      <c r="B45" s="10" t="s">
        <v>460</v>
      </c>
      <c r="C45" s="11" t="s">
        <v>453</v>
      </c>
      <c r="D45" s="11" t="s">
        <v>272</v>
      </c>
      <c r="E45" s="11" t="s">
        <v>303</v>
      </c>
      <c r="F45" s="11"/>
      <c r="G45" s="10" t="s">
        <v>461</v>
      </c>
      <c r="H45" s="12" t="s">
        <v>309</v>
      </c>
    </row>
    <row r="46" spans="1:8" ht="16.7" customHeight="1" x14ac:dyDescent="0.25">
      <c r="A46" s="9" t="s">
        <v>462</v>
      </c>
      <c r="B46" s="10" t="s">
        <v>463</v>
      </c>
      <c r="C46" s="11" t="s">
        <v>464</v>
      </c>
      <c r="D46" s="11" t="s">
        <v>276</v>
      </c>
      <c r="E46" s="11" t="s">
        <v>303</v>
      </c>
      <c r="F46" s="11" t="s">
        <v>465</v>
      </c>
      <c r="G46" s="10" t="s">
        <v>466</v>
      </c>
      <c r="H46" s="12" t="s">
        <v>305</v>
      </c>
    </row>
    <row r="47" spans="1:8" ht="16.7" customHeight="1" x14ac:dyDescent="0.25">
      <c r="A47" s="9" t="s">
        <v>467</v>
      </c>
      <c r="B47" s="10" t="s">
        <v>468</v>
      </c>
      <c r="C47" s="11" t="s">
        <v>464</v>
      </c>
      <c r="D47" s="11" t="s">
        <v>276</v>
      </c>
      <c r="E47" s="11" t="s">
        <v>303</v>
      </c>
      <c r="F47" s="11"/>
      <c r="G47" s="10" t="s">
        <v>469</v>
      </c>
      <c r="H47" s="12" t="s">
        <v>305</v>
      </c>
    </row>
    <row r="48" spans="1:8" ht="16.7" customHeight="1" x14ac:dyDescent="0.25">
      <c r="A48" s="9" t="s">
        <v>470</v>
      </c>
      <c r="B48" s="10" t="s">
        <v>471</v>
      </c>
      <c r="C48" s="11" t="s">
        <v>464</v>
      </c>
      <c r="D48" s="11" t="s">
        <v>276</v>
      </c>
      <c r="E48" s="11" t="s">
        <v>303</v>
      </c>
      <c r="F48" s="11"/>
      <c r="G48" s="10" t="s">
        <v>472</v>
      </c>
      <c r="H48" s="12" t="s">
        <v>309</v>
      </c>
    </row>
    <row r="49" spans="1:8" ht="16.7" customHeight="1" x14ac:dyDescent="0.25">
      <c r="A49" s="9" t="s">
        <v>473</v>
      </c>
      <c r="B49" s="10" t="s">
        <v>474</v>
      </c>
      <c r="C49" s="11" t="s">
        <v>464</v>
      </c>
      <c r="D49" s="11" t="s">
        <v>276</v>
      </c>
      <c r="E49" s="11" t="s">
        <v>303</v>
      </c>
      <c r="F49" s="11"/>
      <c r="G49" s="10" t="s">
        <v>475</v>
      </c>
      <c r="H49" s="12" t="s">
        <v>309</v>
      </c>
    </row>
    <row r="50" spans="1:8" ht="16.7" customHeight="1" x14ac:dyDescent="0.25">
      <c r="A50" s="9" t="s">
        <v>476</v>
      </c>
      <c r="B50" s="10" t="s">
        <v>477</v>
      </c>
      <c r="C50" s="11" t="s">
        <v>464</v>
      </c>
      <c r="D50" s="11" t="s">
        <v>276</v>
      </c>
      <c r="E50" s="11" t="s">
        <v>303</v>
      </c>
      <c r="F50" s="11"/>
      <c r="G50" s="10" t="s">
        <v>478</v>
      </c>
      <c r="H50" s="12" t="s">
        <v>309</v>
      </c>
    </row>
    <row r="51" spans="1:8" ht="16.7" customHeight="1" x14ac:dyDescent="0.25">
      <c r="A51" s="9" t="s">
        <v>479</v>
      </c>
      <c r="B51" s="10" t="s">
        <v>480</v>
      </c>
      <c r="C51" s="11" t="s">
        <v>481</v>
      </c>
      <c r="D51" s="11" t="s">
        <v>280</v>
      </c>
      <c r="E51" s="11" t="s">
        <v>303</v>
      </c>
      <c r="F51" s="11"/>
      <c r="G51" s="10" t="s">
        <v>482</v>
      </c>
      <c r="H51" s="12" t="s">
        <v>305</v>
      </c>
    </row>
    <row r="52" spans="1:8" ht="16.7" customHeight="1" x14ac:dyDescent="0.25">
      <c r="A52" s="9" t="s">
        <v>483</v>
      </c>
      <c r="B52" s="10" t="s">
        <v>484</v>
      </c>
      <c r="C52" s="11" t="s">
        <v>481</v>
      </c>
      <c r="D52" s="11" t="s">
        <v>280</v>
      </c>
      <c r="E52" s="11" t="s">
        <v>303</v>
      </c>
      <c r="F52" s="11"/>
      <c r="G52" s="10" t="s">
        <v>485</v>
      </c>
      <c r="H52" s="12" t="s">
        <v>305</v>
      </c>
    </row>
    <row r="53" spans="1:8" ht="16.7" customHeight="1" x14ac:dyDescent="0.25">
      <c r="A53" s="9" t="s">
        <v>486</v>
      </c>
      <c r="B53" s="10" t="s">
        <v>487</v>
      </c>
      <c r="C53" s="11" t="s">
        <v>481</v>
      </c>
      <c r="D53" s="11" t="s">
        <v>280</v>
      </c>
      <c r="E53" s="11" t="s">
        <v>303</v>
      </c>
      <c r="F53" s="11"/>
      <c r="G53" s="10" t="s">
        <v>488</v>
      </c>
      <c r="H53" s="12" t="s">
        <v>305</v>
      </c>
    </row>
    <row r="54" spans="1:8" ht="16.7" customHeight="1" x14ac:dyDescent="0.25">
      <c r="A54" s="9" t="s">
        <v>489</v>
      </c>
      <c r="B54" s="10" t="s">
        <v>490</v>
      </c>
      <c r="C54" s="11" t="s">
        <v>481</v>
      </c>
      <c r="D54" s="11" t="s">
        <v>280</v>
      </c>
      <c r="E54" s="11" t="s">
        <v>303</v>
      </c>
      <c r="F54" s="11"/>
      <c r="G54" s="10" t="s">
        <v>491</v>
      </c>
      <c r="H54" s="12" t="s">
        <v>309</v>
      </c>
    </row>
    <row r="55" spans="1:8" ht="16.7" customHeight="1" x14ac:dyDescent="0.25">
      <c r="A55" s="9" t="s">
        <v>492</v>
      </c>
      <c r="B55" s="10" t="s">
        <v>493</v>
      </c>
      <c r="C55" s="11" t="s">
        <v>494</v>
      </c>
      <c r="D55" s="11" t="s">
        <v>280</v>
      </c>
      <c r="E55" s="11" t="s">
        <v>303</v>
      </c>
      <c r="F55" s="11"/>
      <c r="G55" s="10" t="s">
        <v>495</v>
      </c>
      <c r="H55" s="12" t="s">
        <v>305</v>
      </c>
    </row>
    <row r="56" spans="1:8" ht="16.7" customHeight="1" x14ac:dyDescent="0.25">
      <c r="A56" s="9" t="s">
        <v>496</v>
      </c>
      <c r="B56" s="10" t="s">
        <v>497</v>
      </c>
      <c r="C56" s="11" t="s">
        <v>494</v>
      </c>
      <c r="D56" s="11" t="s">
        <v>280</v>
      </c>
      <c r="E56" s="11" t="s">
        <v>303</v>
      </c>
      <c r="F56" s="11"/>
      <c r="G56" s="10" t="s">
        <v>498</v>
      </c>
      <c r="H56" s="12" t="s">
        <v>305</v>
      </c>
    </row>
    <row r="57" spans="1:8" ht="29.25" customHeight="1" x14ac:dyDescent="0.25">
      <c r="A57" s="9" t="s">
        <v>499</v>
      </c>
      <c r="B57" s="10" t="s">
        <v>500</v>
      </c>
      <c r="C57" s="11" t="s">
        <v>501</v>
      </c>
      <c r="D57" s="11" t="s">
        <v>280</v>
      </c>
      <c r="E57" s="11" t="s">
        <v>303</v>
      </c>
      <c r="F57" s="11"/>
      <c r="G57" s="10" t="s">
        <v>502</v>
      </c>
      <c r="H57" s="12" t="s">
        <v>386</v>
      </c>
    </row>
    <row r="58" spans="1:8" ht="16.7" customHeight="1" x14ac:dyDescent="0.25">
      <c r="A58" s="9" t="s">
        <v>503</v>
      </c>
      <c r="B58" s="10" t="s">
        <v>504</v>
      </c>
      <c r="C58" s="11" t="s">
        <v>501</v>
      </c>
      <c r="D58" s="11" t="s">
        <v>280</v>
      </c>
      <c r="E58" s="11" t="s">
        <v>303</v>
      </c>
      <c r="F58" s="11"/>
      <c r="G58" s="10" t="s">
        <v>505</v>
      </c>
      <c r="H58" s="12" t="s">
        <v>309</v>
      </c>
    </row>
    <row r="59" spans="1:8" ht="16.7" customHeight="1" x14ac:dyDescent="0.25">
      <c r="A59" s="9" t="s">
        <v>506</v>
      </c>
      <c r="B59" s="10" t="s">
        <v>507</v>
      </c>
      <c r="C59" s="11" t="s">
        <v>501</v>
      </c>
      <c r="D59" s="11" t="s">
        <v>280</v>
      </c>
      <c r="E59" s="11" t="s">
        <v>303</v>
      </c>
      <c r="F59" s="11"/>
      <c r="G59" s="10" t="s">
        <v>508</v>
      </c>
      <c r="H59" s="12" t="s">
        <v>305</v>
      </c>
    </row>
    <row r="60" spans="1:8" ht="16.7" customHeight="1" x14ac:dyDescent="0.25">
      <c r="A60" s="9" t="s">
        <v>509</v>
      </c>
      <c r="B60" s="10" t="s">
        <v>510</v>
      </c>
      <c r="C60" s="11" t="s">
        <v>501</v>
      </c>
      <c r="D60" s="11" t="s">
        <v>280</v>
      </c>
      <c r="E60" s="11" t="s">
        <v>303</v>
      </c>
      <c r="F60" s="11"/>
      <c r="G60" s="10" t="s">
        <v>511</v>
      </c>
      <c r="H60" s="12" t="s">
        <v>305</v>
      </c>
    </row>
    <row r="61" spans="1:8" ht="16.7" customHeight="1" x14ac:dyDescent="0.25">
      <c r="A61" s="9" t="s">
        <v>512</v>
      </c>
      <c r="B61" s="10" t="s">
        <v>513</v>
      </c>
      <c r="C61" s="11" t="s">
        <v>514</v>
      </c>
      <c r="D61" s="11" t="s">
        <v>289</v>
      </c>
      <c r="E61" s="11" t="s">
        <v>303</v>
      </c>
      <c r="F61" s="11" t="s">
        <v>515</v>
      </c>
      <c r="G61" s="10" t="s">
        <v>516</v>
      </c>
      <c r="H61" s="12" t="s">
        <v>305</v>
      </c>
    </row>
    <row r="62" spans="1:8" ht="16.7" customHeight="1" x14ac:dyDescent="0.25">
      <c r="A62" s="9" t="s">
        <v>517</v>
      </c>
      <c r="B62" s="10" t="s">
        <v>518</v>
      </c>
      <c r="C62" s="11" t="s">
        <v>514</v>
      </c>
      <c r="D62" s="11" t="s">
        <v>289</v>
      </c>
      <c r="E62" s="11" t="s">
        <v>303</v>
      </c>
      <c r="F62" s="11" t="s">
        <v>519</v>
      </c>
      <c r="G62" s="10" t="s">
        <v>24</v>
      </c>
      <c r="H62" s="12" t="s">
        <v>309</v>
      </c>
    </row>
    <row r="63" spans="1:8" ht="16.7" customHeight="1" x14ac:dyDescent="0.25">
      <c r="A63" s="9" t="s">
        <v>520</v>
      </c>
      <c r="B63" s="10" t="s">
        <v>521</v>
      </c>
      <c r="C63" s="11" t="s">
        <v>514</v>
      </c>
      <c r="D63" s="11" t="s">
        <v>289</v>
      </c>
      <c r="E63" s="11" t="s">
        <v>303</v>
      </c>
      <c r="F63" s="11" t="s">
        <v>522</v>
      </c>
      <c r="G63" s="10" t="s">
        <v>31</v>
      </c>
      <c r="H63" s="12" t="s">
        <v>309</v>
      </c>
    </row>
    <row r="64" spans="1:8" ht="29.25" customHeight="1" x14ac:dyDescent="0.25">
      <c r="A64" s="9" t="s">
        <v>523</v>
      </c>
      <c r="B64" s="10" t="s">
        <v>524</v>
      </c>
      <c r="C64" s="11" t="s">
        <v>514</v>
      </c>
      <c r="D64" s="11" t="s">
        <v>282</v>
      </c>
      <c r="E64" s="11" t="s">
        <v>303</v>
      </c>
      <c r="F64" s="11"/>
      <c r="G64" s="10" t="s">
        <v>525</v>
      </c>
      <c r="H64" s="12" t="s">
        <v>309</v>
      </c>
    </row>
    <row r="65" spans="1:8" ht="29.25" customHeight="1" x14ac:dyDescent="0.25">
      <c r="A65" s="9" t="s">
        <v>526</v>
      </c>
      <c r="B65" s="10" t="s">
        <v>527</v>
      </c>
      <c r="C65" s="11" t="s">
        <v>514</v>
      </c>
      <c r="D65" s="11" t="s">
        <v>282</v>
      </c>
      <c r="E65" s="11" t="s">
        <v>303</v>
      </c>
      <c r="F65" s="11"/>
      <c r="G65" s="10" t="s">
        <v>528</v>
      </c>
      <c r="H65" s="12" t="s">
        <v>309</v>
      </c>
    </row>
    <row r="66" spans="1:8" ht="29.25" customHeight="1" x14ac:dyDescent="0.25">
      <c r="A66" s="9" t="s">
        <v>529</v>
      </c>
      <c r="B66" s="10" t="s">
        <v>530</v>
      </c>
      <c r="C66" s="11" t="s">
        <v>514</v>
      </c>
      <c r="D66" s="11" t="s">
        <v>289</v>
      </c>
      <c r="E66" s="11" t="s">
        <v>303</v>
      </c>
      <c r="F66" s="11"/>
      <c r="G66" s="10" t="s">
        <v>531</v>
      </c>
      <c r="H66" s="12" t="s">
        <v>309</v>
      </c>
    </row>
    <row r="67" spans="1:8" ht="29.25" customHeight="1" x14ac:dyDescent="0.25">
      <c r="A67" s="9" t="s">
        <v>532</v>
      </c>
      <c r="B67" s="10" t="s">
        <v>533</v>
      </c>
      <c r="C67" s="11" t="s">
        <v>534</v>
      </c>
      <c r="D67" s="11" t="s">
        <v>282</v>
      </c>
      <c r="E67" s="11" t="s">
        <v>303</v>
      </c>
      <c r="F67" s="11"/>
      <c r="G67" s="10" t="s">
        <v>535</v>
      </c>
      <c r="H67" s="12" t="s">
        <v>309</v>
      </c>
    </row>
    <row r="68" spans="1:8" ht="29.25" customHeight="1" x14ac:dyDescent="0.25">
      <c r="A68" s="9" t="s">
        <v>536</v>
      </c>
      <c r="B68" s="10" t="s">
        <v>537</v>
      </c>
      <c r="C68" s="11" t="s">
        <v>534</v>
      </c>
      <c r="D68" s="11" t="s">
        <v>282</v>
      </c>
      <c r="E68" s="11" t="s">
        <v>303</v>
      </c>
      <c r="F68" s="11"/>
      <c r="G68" s="10" t="s">
        <v>538</v>
      </c>
      <c r="H68" s="12" t="s">
        <v>309</v>
      </c>
    </row>
    <row r="69" spans="1:8" ht="29.25" customHeight="1" x14ac:dyDescent="0.25">
      <c r="A69" s="9" t="s">
        <v>539</v>
      </c>
      <c r="B69" s="10" t="s">
        <v>540</v>
      </c>
      <c r="C69" s="11" t="s">
        <v>534</v>
      </c>
      <c r="D69" s="11" t="s">
        <v>282</v>
      </c>
      <c r="E69" s="11" t="s">
        <v>303</v>
      </c>
      <c r="F69" s="11"/>
      <c r="G69" s="10" t="s">
        <v>541</v>
      </c>
      <c r="H69" s="12" t="s">
        <v>309</v>
      </c>
    </row>
    <row r="70" spans="1:8" ht="16.7" customHeight="1" x14ac:dyDescent="0.25">
      <c r="A70" s="9" t="s">
        <v>542</v>
      </c>
      <c r="B70" s="10" t="s">
        <v>543</v>
      </c>
      <c r="C70" s="11" t="s">
        <v>534</v>
      </c>
      <c r="D70" s="11" t="s">
        <v>282</v>
      </c>
      <c r="E70" s="11" t="s">
        <v>303</v>
      </c>
      <c r="F70" s="11"/>
      <c r="G70" s="10" t="s">
        <v>544</v>
      </c>
      <c r="H70" s="12" t="s">
        <v>305</v>
      </c>
    </row>
    <row r="71" spans="1:8" ht="16.7" customHeight="1" x14ac:dyDescent="0.25">
      <c r="A71" s="9" t="s">
        <v>545</v>
      </c>
      <c r="B71" s="10" t="s">
        <v>546</v>
      </c>
      <c r="C71" s="11" t="s">
        <v>534</v>
      </c>
      <c r="D71" s="11" t="s">
        <v>282</v>
      </c>
      <c r="E71" s="11" t="s">
        <v>303</v>
      </c>
      <c r="F71" s="11"/>
      <c r="G71" s="10" t="s">
        <v>547</v>
      </c>
      <c r="H71" s="12" t="s">
        <v>309</v>
      </c>
    </row>
    <row r="72" spans="1:8" ht="16.7" customHeight="1" x14ac:dyDescent="0.25">
      <c r="A72" s="9" t="s">
        <v>548</v>
      </c>
      <c r="B72" s="10" t="s">
        <v>549</v>
      </c>
      <c r="C72" s="11" t="s">
        <v>534</v>
      </c>
      <c r="D72" s="11" t="s">
        <v>286</v>
      </c>
      <c r="E72" s="11" t="s">
        <v>303</v>
      </c>
      <c r="F72" s="11" t="s">
        <v>550</v>
      </c>
      <c r="G72" s="10" t="s">
        <v>551</v>
      </c>
      <c r="H72" s="12" t="s">
        <v>305</v>
      </c>
    </row>
    <row r="73" spans="1:8" ht="16.7" customHeight="1" x14ac:dyDescent="0.25">
      <c r="A73" s="9" t="s">
        <v>552</v>
      </c>
      <c r="B73" s="10" t="s">
        <v>553</v>
      </c>
      <c r="C73" s="11" t="s">
        <v>534</v>
      </c>
      <c r="D73" s="11" t="s">
        <v>286</v>
      </c>
      <c r="E73" s="11" t="s">
        <v>303</v>
      </c>
      <c r="F73" s="11"/>
      <c r="G73" s="10" t="s">
        <v>554</v>
      </c>
      <c r="H73" s="12" t="s">
        <v>309</v>
      </c>
    </row>
    <row r="74" spans="1:8" ht="16.7" customHeight="1" x14ac:dyDescent="0.25">
      <c r="A74" s="9" t="s">
        <v>555</v>
      </c>
      <c r="B74" s="10" t="s">
        <v>556</v>
      </c>
      <c r="C74" s="11" t="s">
        <v>557</v>
      </c>
      <c r="D74" s="11" t="s">
        <v>288</v>
      </c>
      <c r="E74" s="11" t="s">
        <v>303</v>
      </c>
      <c r="F74" s="11" t="s">
        <v>558</v>
      </c>
      <c r="G74" s="10" t="s">
        <v>559</v>
      </c>
      <c r="H74" s="12" t="s">
        <v>305</v>
      </c>
    </row>
    <row r="75" spans="1:8" ht="29.25" customHeight="1" x14ac:dyDescent="0.25">
      <c r="A75" s="9" t="s">
        <v>560</v>
      </c>
      <c r="B75" s="10" t="s">
        <v>561</v>
      </c>
      <c r="C75" s="11" t="s">
        <v>557</v>
      </c>
      <c r="D75" s="11" t="s">
        <v>288</v>
      </c>
      <c r="E75" s="11" t="s">
        <v>303</v>
      </c>
      <c r="F75" s="11"/>
      <c r="G75" s="10" t="s">
        <v>562</v>
      </c>
      <c r="H75" s="12" t="s">
        <v>382</v>
      </c>
    </row>
    <row r="76" spans="1:8" ht="16.7" customHeight="1" x14ac:dyDescent="0.25">
      <c r="A76" s="9" t="s">
        <v>563</v>
      </c>
      <c r="B76" s="10" t="s">
        <v>564</v>
      </c>
      <c r="C76" s="11" t="s">
        <v>557</v>
      </c>
      <c r="D76" s="11" t="s">
        <v>289</v>
      </c>
      <c r="E76" s="11" t="s">
        <v>303</v>
      </c>
      <c r="F76" s="11"/>
      <c r="G76" s="10" t="s">
        <v>37</v>
      </c>
      <c r="H76" s="12" t="s">
        <v>309</v>
      </c>
    </row>
    <row r="77" spans="1:8" ht="16.7" customHeight="1" x14ac:dyDescent="0.25">
      <c r="A77" s="9" t="s">
        <v>565</v>
      </c>
      <c r="B77" s="10" t="s">
        <v>566</v>
      </c>
      <c r="C77" s="11" t="s">
        <v>557</v>
      </c>
      <c r="D77" s="11" t="s">
        <v>288</v>
      </c>
      <c r="E77" s="11" t="s">
        <v>303</v>
      </c>
      <c r="F77" s="11"/>
      <c r="G77" s="10" t="s">
        <v>567</v>
      </c>
      <c r="H77" s="12" t="s">
        <v>305</v>
      </c>
    </row>
    <row r="78" spans="1:8" ht="16.7" customHeight="1" x14ac:dyDescent="0.25">
      <c r="A78" s="9" t="s">
        <v>568</v>
      </c>
      <c r="B78" s="10" t="s">
        <v>569</v>
      </c>
      <c r="C78" s="11" t="s">
        <v>557</v>
      </c>
      <c r="D78" s="11" t="s">
        <v>288</v>
      </c>
      <c r="E78" s="11" t="s">
        <v>303</v>
      </c>
      <c r="F78" s="11"/>
      <c r="G78" s="10" t="s">
        <v>570</v>
      </c>
      <c r="H78" s="12" t="s">
        <v>305</v>
      </c>
    </row>
    <row r="79" spans="1:8" ht="29.25" customHeight="1" x14ac:dyDescent="0.25">
      <c r="A79" s="9" t="s">
        <v>571</v>
      </c>
      <c r="B79" s="10" t="s">
        <v>572</v>
      </c>
      <c r="C79" s="11" t="s">
        <v>557</v>
      </c>
      <c r="D79" s="11" t="s">
        <v>288</v>
      </c>
      <c r="E79" s="11" t="s">
        <v>303</v>
      </c>
      <c r="F79" s="11"/>
      <c r="G79" s="10" t="s">
        <v>573</v>
      </c>
      <c r="H79" s="12" t="s">
        <v>386</v>
      </c>
    </row>
    <row r="80" spans="1:8" ht="16.7" customHeight="1" x14ac:dyDescent="0.25">
      <c r="A80" s="9" t="s">
        <v>574</v>
      </c>
      <c r="B80" s="10" t="s">
        <v>575</v>
      </c>
      <c r="C80" s="11" t="s">
        <v>576</v>
      </c>
      <c r="D80" s="11" t="s">
        <v>284</v>
      </c>
      <c r="E80" s="11" t="s">
        <v>303</v>
      </c>
      <c r="F80" s="11"/>
      <c r="G80" s="10" t="s">
        <v>577</v>
      </c>
      <c r="H80" s="12" t="s">
        <v>309</v>
      </c>
    </row>
    <row r="81" spans="1:8" ht="16.7" customHeight="1" x14ac:dyDescent="0.25">
      <c r="A81" s="9" t="s">
        <v>578</v>
      </c>
      <c r="B81" s="10" t="s">
        <v>579</v>
      </c>
      <c r="C81" s="11" t="s">
        <v>576</v>
      </c>
      <c r="D81" s="11" t="s">
        <v>291</v>
      </c>
      <c r="E81" s="11" t="s">
        <v>303</v>
      </c>
      <c r="F81" s="11"/>
      <c r="G81" s="10" t="s">
        <v>580</v>
      </c>
      <c r="H81" s="12" t="s">
        <v>305</v>
      </c>
    </row>
    <row r="82" spans="1:8" ht="29.25" customHeight="1" x14ac:dyDescent="0.25">
      <c r="A82" s="9" t="s">
        <v>581</v>
      </c>
      <c r="B82" s="10" t="s">
        <v>582</v>
      </c>
      <c r="C82" s="11" t="s">
        <v>576</v>
      </c>
      <c r="D82" s="11" t="s">
        <v>284</v>
      </c>
      <c r="E82" s="11" t="s">
        <v>303</v>
      </c>
      <c r="F82" s="11" t="s">
        <v>583</v>
      </c>
      <c r="G82" s="10" t="s">
        <v>584</v>
      </c>
      <c r="H82" s="12" t="s">
        <v>386</v>
      </c>
    </row>
    <row r="83" spans="1:8" ht="16.7" customHeight="1" x14ac:dyDescent="0.25">
      <c r="A83" s="9" t="s">
        <v>585</v>
      </c>
      <c r="B83" s="10" t="s">
        <v>586</v>
      </c>
      <c r="C83" s="11" t="s">
        <v>576</v>
      </c>
      <c r="D83" s="11" t="s">
        <v>284</v>
      </c>
      <c r="E83" s="11" t="s">
        <v>303</v>
      </c>
      <c r="F83" s="11"/>
      <c r="G83" s="10" t="s">
        <v>587</v>
      </c>
      <c r="H83" s="12" t="s">
        <v>305</v>
      </c>
    </row>
    <row r="84" spans="1:8" ht="16.7" customHeight="1" x14ac:dyDescent="0.25">
      <c r="A84" s="9" t="s">
        <v>588</v>
      </c>
      <c r="B84" s="10" t="s">
        <v>589</v>
      </c>
      <c r="C84" s="11" t="s">
        <v>576</v>
      </c>
      <c r="D84" s="11" t="s">
        <v>284</v>
      </c>
      <c r="E84" s="11" t="s">
        <v>303</v>
      </c>
      <c r="F84" s="11"/>
      <c r="G84" s="10" t="s">
        <v>590</v>
      </c>
      <c r="H84" s="12" t="s">
        <v>309</v>
      </c>
    </row>
    <row r="85" spans="1:8" ht="16.7" customHeight="1" x14ac:dyDescent="0.25">
      <c r="A85" s="9" t="s">
        <v>591</v>
      </c>
      <c r="B85" s="10" t="s">
        <v>592</v>
      </c>
      <c r="C85" s="11" t="s">
        <v>593</v>
      </c>
      <c r="D85" s="11" t="s">
        <v>289</v>
      </c>
      <c r="E85" s="11" t="s">
        <v>303</v>
      </c>
      <c r="F85" s="11" t="s">
        <v>594</v>
      </c>
      <c r="G85" s="10" t="s">
        <v>44</v>
      </c>
      <c r="H85" s="12" t="s">
        <v>309</v>
      </c>
    </row>
    <row r="86" spans="1:8" ht="16.7" customHeight="1" x14ac:dyDescent="0.25">
      <c r="A86" s="9" t="s">
        <v>595</v>
      </c>
      <c r="B86" s="10" t="s">
        <v>596</v>
      </c>
      <c r="C86" s="11" t="s">
        <v>593</v>
      </c>
      <c r="D86" s="11" t="s">
        <v>289</v>
      </c>
      <c r="E86" s="11" t="s">
        <v>303</v>
      </c>
      <c r="F86" s="11" t="s">
        <v>597</v>
      </c>
      <c r="G86" s="10" t="s">
        <v>51</v>
      </c>
      <c r="H86" s="12" t="s">
        <v>309</v>
      </c>
    </row>
    <row r="87" spans="1:8" ht="16.7" customHeight="1" x14ac:dyDescent="0.25">
      <c r="A87" s="9" t="s">
        <v>598</v>
      </c>
      <c r="B87" s="10" t="s">
        <v>599</v>
      </c>
      <c r="C87" s="11" t="s">
        <v>593</v>
      </c>
      <c r="D87" s="11" t="s">
        <v>289</v>
      </c>
      <c r="E87" s="11" t="s">
        <v>303</v>
      </c>
      <c r="F87" s="11" t="s">
        <v>594</v>
      </c>
      <c r="G87" s="10" t="s">
        <v>59</v>
      </c>
      <c r="H87" s="12" t="s">
        <v>309</v>
      </c>
    </row>
    <row r="88" spans="1:8" ht="16.7" customHeight="1" x14ac:dyDescent="0.25">
      <c r="A88" s="9" t="s">
        <v>600</v>
      </c>
      <c r="B88" s="10" t="s">
        <v>601</v>
      </c>
      <c r="C88" s="11" t="s">
        <v>593</v>
      </c>
      <c r="D88" s="11" t="s">
        <v>289</v>
      </c>
      <c r="E88" s="11" t="s">
        <v>303</v>
      </c>
      <c r="F88" s="11"/>
      <c r="G88" s="10" t="s">
        <v>66</v>
      </c>
      <c r="H88" s="12" t="s">
        <v>309</v>
      </c>
    </row>
    <row r="89" spans="1:8" ht="16.7" customHeight="1" x14ac:dyDescent="0.25">
      <c r="A89" s="9" t="s">
        <v>602</v>
      </c>
      <c r="B89" s="10" t="s">
        <v>603</v>
      </c>
      <c r="C89" s="11" t="s">
        <v>593</v>
      </c>
      <c r="D89" s="11" t="s">
        <v>289</v>
      </c>
      <c r="E89" s="11" t="s">
        <v>303</v>
      </c>
      <c r="F89" s="11"/>
      <c r="G89" s="10" t="s">
        <v>72</v>
      </c>
      <c r="H89" s="12" t="s">
        <v>309</v>
      </c>
    </row>
    <row r="90" spans="1:8" ht="16.7" customHeight="1" x14ac:dyDescent="0.25">
      <c r="A90" s="9" t="s">
        <v>604</v>
      </c>
      <c r="B90" s="10" t="s">
        <v>605</v>
      </c>
      <c r="C90" s="11" t="s">
        <v>593</v>
      </c>
      <c r="D90" s="11" t="s">
        <v>289</v>
      </c>
      <c r="E90" s="11" t="s">
        <v>303</v>
      </c>
      <c r="F90" s="11" t="s">
        <v>597</v>
      </c>
      <c r="G90" s="10" t="s">
        <v>78</v>
      </c>
      <c r="H90" s="12" t="s">
        <v>309</v>
      </c>
    </row>
    <row r="91" spans="1:8" ht="16.7" customHeight="1" x14ac:dyDescent="0.25">
      <c r="A91" s="9" t="s">
        <v>606</v>
      </c>
      <c r="B91" s="10" t="s">
        <v>607</v>
      </c>
      <c r="C91" s="11" t="s">
        <v>593</v>
      </c>
      <c r="D91" s="11" t="s">
        <v>289</v>
      </c>
      <c r="E91" s="11" t="s">
        <v>303</v>
      </c>
      <c r="F91" s="11"/>
      <c r="G91" s="10" t="s">
        <v>85</v>
      </c>
      <c r="H91" s="12" t="s">
        <v>309</v>
      </c>
    </row>
    <row r="92" spans="1:8" ht="16.7" customHeight="1" x14ac:dyDescent="0.25">
      <c r="A92" s="9" t="s">
        <v>608</v>
      </c>
      <c r="B92" s="10" t="s">
        <v>609</v>
      </c>
      <c r="C92" s="11" t="s">
        <v>610</v>
      </c>
      <c r="D92" s="11" t="s">
        <v>287</v>
      </c>
      <c r="E92" s="11" t="s">
        <v>303</v>
      </c>
      <c r="F92" s="11" t="s">
        <v>611</v>
      </c>
      <c r="G92" s="10" t="s">
        <v>612</v>
      </c>
      <c r="H92" s="12" t="s">
        <v>305</v>
      </c>
    </row>
    <row r="93" spans="1:8" ht="16.7" customHeight="1" x14ac:dyDescent="0.25">
      <c r="A93" s="9" t="s">
        <v>613</v>
      </c>
      <c r="B93" s="10" t="s">
        <v>614</v>
      </c>
      <c r="C93" s="11" t="s">
        <v>610</v>
      </c>
      <c r="D93" s="11" t="s">
        <v>287</v>
      </c>
      <c r="E93" s="11" t="s">
        <v>303</v>
      </c>
      <c r="F93" s="11"/>
      <c r="G93" s="10" t="s">
        <v>615</v>
      </c>
      <c r="H93" s="12" t="s">
        <v>305</v>
      </c>
    </row>
    <row r="94" spans="1:8" ht="16.7" customHeight="1" x14ac:dyDescent="0.25">
      <c r="A94" s="9" t="s">
        <v>616</v>
      </c>
      <c r="B94" s="10" t="s">
        <v>617</v>
      </c>
      <c r="C94" s="11" t="s">
        <v>610</v>
      </c>
      <c r="D94" s="11" t="s">
        <v>287</v>
      </c>
      <c r="E94" s="11" t="s">
        <v>303</v>
      </c>
      <c r="F94" s="11" t="s">
        <v>618</v>
      </c>
      <c r="G94" s="10" t="s">
        <v>619</v>
      </c>
      <c r="H94" s="12" t="s">
        <v>309</v>
      </c>
    </row>
    <row r="95" spans="1:8" ht="16.7" customHeight="1" x14ac:dyDescent="0.25">
      <c r="A95" s="9" t="s">
        <v>620</v>
      </c>
      <c r="B95" s="10" t="s">
        <v>621</v>
      </c>
      <c r="C95" s="11" t="s">
        <v>622</v>
      </c>
      <c r="D95" s="11" t="s">
        <v>289</v>
      </c>
      <c r="E95" s="11" t="s">
        <v>303</v>
      </c>
      <c r="F95" s="11"/>
      <c r="G95" s="10" t="s">
        <v>623</v>
      </c>
      <c r="H95" s="12" t="s">
        <v>305</v>
      </c>
    </row>
    <row r="96" spans="1:8" ht="16.7" customHeight="1" x14ac:dyDescent="0.25">
      <c r="A96" s="9" t="s">
        <v>624</v>
      </c>
      <c r="B96" s="10" t="s">
        <v>625</v>
      </c>
      <c r="C96" s="11" t="s">
        <v>622</v>
      </c>
      <c r="D96" s="11" t="s">
        <v>289</v>
      </c>
      <c r="E96" s="11" t="s">
        <v>303</v>
      </c>
      <c r="F96" s="11" t="s">
        <v>626</v>
      </c>
      <c r="G96" s="10" t="s">
        <v>627</v>
      </c>
      <c r="H96" s="12" t="s">
        <v>305</v>
      </c>
    </row>
    <row r="97" spans="1:8" ht="16.7" customHeight="1" x14ac:dyDescent="0.25">
      <c r="A97" s="9" t="s">
        <v>628</v>
      </c>
      <c r="B97" s="10" t="s">
        <v>629</v>
      </c>
      <c r="C97" s="11" t="s">
        <v>622</v>
      </c>
      <c r="D97" s="11" t="s">
        <v>289</v>
      </c>
      <c r="E97" s="11" t="s">
        <v>303</v>
      </c>
      <c r="F97" s="11"/>
      <c r="G97" s="10" t="s">
        <v>118</v>
      </c>
      <c r="H97" s="12" t="s">
        <v>309</v>
      </c>
    </row>
    <row r="98" spans="1:8" ht="16.7" customHeight="1" x14ac:dyDescent="0.25">
      <c r="A98" s="9" t="s">
        <v>630</v>
      </c>
      <c r="B98" s="10" t="s">
        <v>631</v>
      </c>
      <c r="C98" s="11" t="s">
        <v>632</v>
      </c>
      <c r="D98" s="11" t="s">
        <v>291</v>
      </c>
      <c r="E98" s="11" t="s">
        <v>303</v>
      </c>
      <c r="F98" s="11"/>
      <c r="G98" s="10" t="s">
        <v>633</v>
      </c>
      <c r="H98" s="12" t="s">
        <v>309</v>
      </c>
    </row>
    <row r="99" spans="1:8" ht="16.7" customHeight="1" x14ac:dyDescent="0.25">
      <c r="A99" s="9" t="s">
        <v>634</v>
      </c>
      <c r="B99" s="10" t="s">
        <v>635</v>
      </c>
      <c r="C99" s="11" t="s">
        <v>632</v>
      </c>
      <c r="D99" s="11" t="s">
        <v>291</v>
      </c>
      <c r="E99" s="11" t="s">
        <v>303</v>
      </c>
      <c r="F99" s="11" t="s">
        <v>636</v>
      </c>
      <c r="G99" s="10" t="s">
        <v>637</v>
      </c>
      <c r="H99" s="12" t="s">
        <v>309</v>
      </c>
    </row>
    <row r="100" spans="1:8" ht="16.7" customHeight="1" x14ac:dyDescent="0.25">
      <c r="A100" s="9" t="s">
        <v>638</v>
      </c>
      <c r="B100" s="10" t="s">
        <v>639</v>
      </c>
      <c r="C100" s="11" t="s">
        <v>640</v>
      </c>
      <c r="D100" s="11" t="s">
        <v>289</v>
      </c>
      <c r="E100" s="11" t="s">
        <v>303</v>
      </c>
      <c r="F100" s="11" t="s">
        <v>515</v>
      </c>
      <c r="G100" s="10" t="s">
        <v>641</v>
      </c>
      <c r="H100" s="12" t="s">
        <v>305</v>
      </c>
    </row>
    <row r="101" spans="1:8" ht="16.7" customHeight="1" x14ac:dyDescent="0.25">
      <c r="A101" s="9" t="s">
        <v>642</v>
      </c>
      <c r="B101" s="10" t="s">
        <v>643</v>
      </c>
      <c r="C101" s="11" t="s">
        <v>644</v>
      </c>
      <c r="D101" s="11" t="s">
        <v>284</v>
      </c>
      <c r="E101" s="11" t="s">
        <v>303</v>
      </c>
      <c r="F101" s="11"/>
      <c r="G101" s="10" t="s">
        <v>645</v>
      </c>
      <c r="H101" s="12" t="s">
        <v>309</v>
      </c>
    </row>
    <row r="102" spans="1:8" ht="29.25" customHeight="1" x14ac:dyDescent="0.25">
      <c r="A102" s="9" t="s">
        <v>646</v>
      </c>
      <c r="B102" s="10" t="s">
        <v>647</v>
      </c>
      <c r="C102" s="11" t="s">
        <v>648</v>
      </c>
      <c r="D102" s="11" t="s">
        <v>282</v>
      </c>
      <c r="E102" s="11" t="s">
        <v>649</v>
      </c>
      <c r="F102" s="11"/>
      <c r="G102" s="10" t="s">
        <v>650</v>
      </c>
      <c r="H102" s="12" t="s">
        <v>305</v>
      </c>
    </row>
    <row r="103" spans="1:8" ht="16.7" customHeight="1" x14ac:dyDescent="0.25">
      <c r="A103" s="9" t="s">
        <v>651</v>
      </c>
      <c r="B103" s="10" t="s">
        <v>652</v>
      </c>
      <c r="C103" s="11" t="s">
        <v>648</v>
      </c>
      <c r="D103" s="11" t="s">
        <v>282</v>
      </c>
      <c r="E103" s="11" t="s">
        <v>649</v>
      </c>
      <c r="F103" s="11"/>
      <c r="G103" s="10" t="s">
        <v>653</v>
      </c>
      <c r="H103" s="12" t="s">
        <v>309</v>
      </c>
    </row>
    <row r="104" spans="1:8" ht="29.25" customHeight="1" x14ac:dyDescent="0.25">
      <c r="A104" s="9" t="s">
        <v>654</v>
      </c>
      <c r="B104" s="10" t="s">
        <v>655</v>
      </c>
      <c r="C104" s="11" t="s">
        <v>648</v>
      </c>
      <c r="D104" s="11" t="s">
        <v>282</v>
      </c>
      <c r="E104" s="11" t="s">
        <v>649</v>
      </c>
      <c r="F104" s="11"/>
      <c r="G104" s="10" t="s">
        <v>656</v>
      </c>
      <c r="H104" s="12" t="s">
        <v>305</v>
      </c>
    </row>
    <row r="105" spans="1:8" ht="16.7" customHeight="1" x14ac:dyDescent="0.25">
      <c r="A105" s="9" t="s">
        <v>657</v>
      </c>
      <c r="B105" s="10" t="s">
        <v>658</v>
      </c>
      <c r="C105" s="11" t="s">
        <v>659</v>
      </c>
      <c r="D105" s="11" t="s">
        <v>283</v>
      </c>
      <c r="E105" s="11" t="s">
        <v>649</v>
      </c>
      <c r="F105" s="11" t="s">
        <v>660</v>
      </c>
      <c r="G105" s="10" t="s">
        <v>661</v>
      </c>
      <c r="H105" s="12" t="s">
        <v>305</v>
      </c>
    </row>
    <row r="106" spans="1:8" ht="29.25" customHeight="1" x14ac:dyDescent="0.25">
      <c r="A106" s="9" t="s">
        <v>662</v>
      </c>
      <c r="B106" s="10" t="s">
        <v>663</v>
      </c>
      <c r="C106" s="11" t="s">
        <v>659</v>
      </c>
      <c r="D106" s="11" t="s">
        <v>283</v>
      </c>
      <c r="E106" s="11" t="s">
        <v>649</v>
      </c>
      <c r="F106" s="11"/>
      <c r="G106" s="10" t="s">
        <v>664</v>
      </c>
      <c r="H106" s="12" t="s">
        <v>386</v>
      </c>
    </row>
    <row r="107" spans="1:8" ht="29.25" customHeight="1" x14ac:dyDescent="0.25">
      <c r="A107" s="9" t="s">
        <v>665</v>
      </c>
      <c r="B107" s="10" t="s">
        <v>666</v>
      </c>
      <c r="C107" s="11" t="s">
        <v>659</v>
      </c>
      <c r="D107" s="11" t="s">
        <v>283</v>
      </c>
      <c r="E107" s="11" t="s">
        <v>649</v>
      </c>
      <c r="F107" s="11"/>
      <c r="G107" s="10" t="s">
        <v>667</v>
      </c>
      <c r="H107" s="12" t="s">
        <v>382</v>
      </c>
    </row>
    <row r="108" spans="1:8" ht="29.25" customHeight="1" x14ac:dyDescent="0.25">
      <c r="A108" s="9" t="s">
        <v>668</v>
      </c>
      <c r="B108" s="10" t="s">
        <v>669</v>
      </c>
      <c r="C108" s="11" t="s">
        <v>670</v>
      </c>
      <c r="D108" s="11" t="s">
        <v>284</v>
      </c>
      <c r="E108" s="11" t="s">
        <v>649</v>
      </c>
      <c r="F108" s="11" t="s">
        <v>671</v>
      </c>
      <c r="G108" s="10" t="s">
        <v>672</v>
      </c>
      <c r="H108" s="12" t="s">
        <v>382</v>
      </c>
    </row>
    <row r="109" spans="1:8" ht="41.85" customHeight="1" x14ac:dyDescent="0.25">
      <c r="A109" s="9" t="s">
        <v>673</v>
      </c>
      <c r="B109" s="10" t="s">
        <v>674</v>
      </c>
      <c r="C109" s="11" t="s">
        <v>670</v>
      </c>
      <c r="D109" s="11" t="s">
        <v>284</v>
      </c>
      <c r="E109" s="11" t="s">
        <v>649</v>
      </c>
      <c r="F109" s="11" t="s">
        <v>675</v>
      </c>
      <c r="G109" s="10" t="s">
        <v>676</v>
      </c>
      <c r="H109" s="12" t="s">
        <v>309</v>
      </c>
    </row>
    <row r="110" spans="1:8" ht="16.7" customHeight="1" x14ac:dyDescent="0.25">
      <c r="A110" s="9" t="s">
        <v>677</v>
      </c>
      <c r="B110" s="10" t="s">
        <v>678</v>
      </c>
      <c r="C110" s="11" t="s">
        <v>670</v>
      </c>
      <c r="D110" s="11" t="s">
        <v>284</v>
      </c>
      <c r="E110" s="11" t="s">
        <v>649</v>
      </c>
      <c r="F110" s="11"/>
      <c r="G110" s="10" t="s">
        <v>679</v>
      </c>
      <c r="H110" s="12" t="s">
        <v>305</v>
      </c>
    </row>
    <row r="111" spans="1:8" ht="29.25" customHeight="1" x14ac:dyDescent="0.25">
      <c r="A111" s="9" t="s">
        <v>680</v>
      </c>
      <c r="B111" s="10" t="s">
        <v>681</v>
      </c>
      <c r="C111" s="11" t="s">
        <v>682</v>
      </c>
      <c r="D111" s="11" t="s">
        <v>285</v>
      </c>
      <c r="E111" s="11" t="s">
        <v>649</v>
      </c>
      <c r="F111" s="11"/>
      <c r="G111" s="10" t="s">
        <v>683</v>
      </c>
      <c r="H111" s="12" t="s">
        <v>386</v>
      </c>
    </row>
    <row r="112" spans="1:8" ht="29.25" customHeight="1" x14ac:dyDescent="0.25">
      <c r="A112" s="9" t="s">
        <v>684</v>
      </c>
      <c r="B112" s="10" t="s">
        <v>685</v>
      </c>
      <c r="C112" s="11" t="s">
        <v>682</v>
      </c>
      <c r="D112" s="11" t="s">
        <v>285</v>
      </c>
      <c r="E112" s="11" t="s">
        <v>649</v>
      </c>
      <c r="F112" s="11" t="s">
        <v>686</v>
      </c>
      <c r="G112" s="10" t="s">
        <v>687</v>
      </c>
      <c r="H112" s="12" t="s">
        <v>386</v>
      </c>
    </row>
    <row r="113" spans="1:8" ht="16.7" customHeight="1" x14ac:dyDescent="0.25">
      <c r="A113" s="9" t="s">
        <v>688</v>
      </c>
      <c r="B113" s="10" t="s">
        <v>689</v>
      </c>
      <c r="C113" s="11" t="s">
        <v>682</v>
      </c>
      <c r="D113" s="11" t="s">
        <v>285</v>
      </c>
      <c r="E113" s="11" t="s">
        <v>649</v>
      </c>
      <c r="F113" s="11"/>
      <c r="G113" s="10" t="s">
        <v>690</v>
      </c>
      <c r="H113" s="12" t="s">
        <v>309</v>
      </c>
    </row>
    <row r="114" spans="1:8" ht="29.25" customHeight="1" x14ac:dyDescent="0.25">
      <c r="A114" s="9" t="s">
        <v>691</v>
      </c>
      <c r="B114" s="10" t="s">
        <v>692</v>
      </c>
      <c r="C114" s="11" t="s">
        <v>693</v>
      </c>
      <c r="D114" s="11" t="s">
        <v>285</v>
      </c>
      <c r="E114" s="11" t="s">
        <v>649</v>
      </c>
      <c r="F114" s="11"/>
      <c r="G114" s="10" t="s">
        <v>694</v>
      </c>
      <c r="H114" s="12" t="s">
        <v>386</v>
      </c>
    </row>
    <row r="115" spans="1:8" ht="29.25" customHeight="1" x14ac:dyDescent="0.25">
      <c r="A115" s="9" t="s">
        <v>695</v>
      </c>
      <c r="B115" s="10" t="s">
        <v>696</v>
      </c>
      <c r="C115" s="11" t="s">
        <v>693</v>
      </c>
      <c r="D115" s="11" t="s">
        <v>285</v>
      </c>
      <c r="E115" s="11" t="s">
        <v>649</v>
      </c>
      <c r="F115" s="11"/>
      <c r="G115" s="10" t="s">
        <v>697</v>
      </c>
      <c r="H115" s="12" t="s">
        <v>386</v>
      </c>
    </row>
    <row r="116" spans="1:8" ht="16.7" customHeight="1" x14ac:dyDescent="0.25">
      <c r="A116" s="9" t="s">
        <v>698</v>
      </c>
      <c r="B116" s="10" t="s">
        <v>699</v>
      </c>
      <c r="C116" s="11" t="s">
        <v>700</v>
      </c>
      <c r="D116" s="11" t="s">
        <v>282</v>
      </c>
      <c r="E116" s="11" t="s">
        <v>649</v>
      </c>
      <c r="F116" s="11" t="s">
        <v>701</v>
      </c>
      <c r="G116" s="10" t="s">
        <v>702</v>
      </c>
      <c r="H116" s="12" t="s">
        <v>309</v>
      </c>
    </row>
    <row r="117" spans="1:8" ht="16.7" customHeight="1" x14ac:dyDescent="0.25">
      <c r="A117" s="9" t="s">
        <v>703</v>
      </c>
      <c r="B117" s="10" t="s">
        <v>704</v>
      </c>
      <c r="C117" s="11" t="s">
        <v>700</v>
      </c>
      <c r="D117" s="11" t="s">
        <v>282</v>
      </c>
      <c r="E117" s="11" t="s">
        <v>649</v>
      </c>
      <c r="F117" s="11"/>
      <c r="G117" s="10" t="s">
        <v>705</v>
      </c>
      <c r="H117" s="12" t="s">
        <v>309</v>
      </c>
    </row>
    <row r="118" spans="1:8" ht="16.7" customHeight="1" x14ac:dyDescent="0.25">
      <c r="A118" s="9" t="s">
        <v>706</v>
      </c>
      <c r="B118" s="10" t="s">
        <v>707</v>
      </c>
      <c r="C118" s="11" t="s">
        <v>708</v>
      </c>
      <c r="D118" s="11" t="s">
        <v>282</v>
      </c>
      <c r="E118" s="11" t="s">
        <v>649</v>
      </c>
      <c r="F118" s="11"/>
      <c r="G118" s="10" t="s">
        <v>709</v>
      </c>
      <c r="H118" s="12" t="s">
        <v>309</v>
      </c>
    </row>
    <row r="119" spans="1:8" ht="16.7" customHeight="1" x14ac:dyDescent="0.25">
      <c r="A119" s="9" t="s">
        <v>710</v>
      </c>
      <c r="B119" s="10" t="s">
        <v>711</v>
      </c>
      <c r="C119" s="11" t="s">
        <v>708</v>
      </c>
      <c r="D119" s="11" t="s">
        <v>282</v>
      </c>
      <c r="E119" s="11" t="s">
        <v>649</v>
      </c>
      <c r="F119" s="11"/>
      <c r="G119" s="10" t="s">
        <v>712</v>
      </c>
      <c r="H119" s="12" t="s">
        <v>309</v>
      </c>
    </row>
    <row r="120" spans="1:8" ht="29.25" customHeight="1" x14ac:dyDescent="0.25">
      <c r="A120" s="9" t="s">
        <v>713</v>
      </c>
      <c r="B120" s="10" t="s">
        <v>714</v>
      </c>
      <c r="C120" s="11" t="s">
        <v>708</v>
      </c>
      <c r="D120" s="11" t="s">
        <v>282</v>
      </c>
      <c r="E120" s="11" t="s">
        <v>649</v>
      </c>
      <c r="F120" s="11"/>
      <c r="G120" s="10" t="s">
        <v>715</v>
      </c>
      <c r="H120" s="12" t="s">
        <v>309</v>
      </c>
    </row>
    <row r="121" spans="1:8" ht="16.7" customHeight="1" x14ac:dyDescent="0.25">
      <c r="A121" s="9" t="s">
        <v>716</v>
      </c>
      <c r="B121" s="10" t="s">
        <v>717</v>
      </c>
      <c r="C121" s="11" t="s">
        <v>718</v>
      </c>
      <c r="D121" s="11" t="s">
        <v>285</v>
      </c>
      <c r="E121" s="11" t="s">
        <v>649</v>
      </c>
      <c r="F121" s="11"/>
      <c r="G121" s="10" t="s">
        <v>719</v>
      </c>
      <c r="H121" s="12" t="s">
        <v>309</v>
      </c>
    </row>
    <row r="122" spans="1:8" ht="16.7" customHeight="1" x14ac:dyDescent="0.25">
      <c r="A122" s="9" t="s">
        <v>720</v>
      </c>
      <c r="B122" s="10" t="s">
        <v>721</v>
      </c>
      <c r="C122" s="11" t="s">
        <v>718</v>
      </c>
      <c r="D122" s="11" t="s">
        <v>285</v>
      </c>
      <c r="E122" s="11" t="s">
        <v>649</v>
      </c>
      <c r="F122" s="11" t="s">
        <v>626</v>
      </c>
      <c r="G122" s="10" t="s">
        <v>722</v>
      </c>
      <c r="H122" s="12" t="s">
        <v>309</v>
      </c>
    </row>
    <row r="123" spans="1:8" ht="16.7" customHeight="1" x14ac:dyDescent="0.25">
      <c r="A123" s="9" t="s">
        <v>723</v>
      </c>
      <c r="B123" s="10" t="s">
        <v>724</v>
      </c>
      <c r="C123" s="11" t="s">
        <v>725</v>
      </c>
      <c r="D123" s="11" t="s">
        <v>284</v>
      </c>
      <c r="E123" s="11" t="s">
        <v>726</v>
      </c>
      <c r="F123" s="11" t="s">
        <v>727</v>
      </c>
      <c r="G123" s="10" t="s">
        <v>728</v>
      </c>
      <c r="H123" s="12" t="s">
        <v>309</v>
      </c>
    </row>
    <row r="124" spans="1:8" ht="16.7" customHeight="1" x14ac:dyDescent="0.25">
      <c r="A124" s="9" t="s">
        <v>729</v>
      </c>
      <c r="B124" s="10" t="s">
        <v>730</v>
      </c>
      <c r="C124" s="11" t="s">
        <v>725</v>
      </c>
      <c r="D124" s="11" t="s">
        <v>284</v>
      </c>
      <c r="E124" s="11" t="s">
        <v>726</v>
      </c>
      <c r="F124" s="11"/>
      <c r="G124" s="10" t="s">
        <v>731</v>
      </c>
      <c r="H124" s="12" t="s">
        <v>309</v>
      </c>
    </row>
    <row r="125" spans="1:8" ht="16.7" customHeight="1" x14ac:dyDescent="0.25">
      <c r="A125" s="9" t="s">
        <v>732</v>
      </c>
      <c r="B125" s="10" t="s">
        <v>733</v>
      </c>
      <c r="C125" s="11" t="s">
        <v>725</v>
      </c>
      <c r="D125" s="11" t="s">
        <v>284</v>
      </c>
      <c r="E125" s="11" t="s">
        <v>726</v>
      </c>
      <c r="F125" s="11"/>
      <c r="G125" s="10" t="s">
        <v>734</v>
      </c>
      <c r="H125" s="12" t="s">
        <v>309</v>
      </c>
    </row>
    <row r="126" spans="1:8" ht="16.7" customHeight="1" x14ac:dyDescent="0.25">
      <c r="A126" s="9" t="s">
        <v>735</v>
      </c>
      <c r="B126" s="10" t="s">
        <v>736</v>
      </c>
      <c r="C126" s="11" t="s">
        <v>725</v>
      </c>
      <c r="D126" s="11" t="s">
        <v>284</v>
      </c>
      <c r="E126" s="11" t="s">
        <v>726</v>
      </c>
      <c r="F126" s="11"/>
      <c r="G126" s="10" t="s">
        <v>737</v>
      </c>
      <c r="H126" s="12" t="s">
        <v>309</v>
      </c>
    </row>
    <row r="127" spans="1:8" ht="16.7" customHeight="1" x14ac:dyDescent="0.25">
      <c r="A127" s="9" t="s">
        <v>738</v>
      </c>
      <c r="B127" s="10" t="s">
        <v>739</v>
      </c>
      <c r="C127" s="11" t="s">
        <v>725</v>
      </c>
      <c r="D127" s="11" t="s">
        <v>284</v>
      </c>
      <c r="E127" s="11" t="s">
        <v>401</v>
      </c>
      <c r="F127" s="11"/>
      <c r="G127" s="10"/>
      <c r="H127" s="13" t="s">
        <v>402</v>
      </c>
    </row>
    <row r="128" spans="1:8" ht="16.7" customHeight="1" x14ac:dyDescent="0.25">
      <c r="A128" s="9" t="s">
        <v>740</v>
      </c>
      <c r="B128" s="10" t="s">
        <v>741</v>
      </c>
      <c r="C128" s="11" t="s">
        <v>725</v>
      </c>
      <c r="D128" s="11" t="s">
        <v>285</v>
      </c>
      <c r="E128" s="11" t="s">
        <v>303</v>
      </c>
      <c r="F128" s="11"/>
      <c r="G128" s="10" t="s">
        <v>742</v>
      </c>
      <c r="H128" s="12" t="s">
        <v>305</v>
      </c>
    </row>
    <row r="129" spans="1:8" ht="16.7" customHeight="1" x14ac:dyDescent="0.25">
      <c r="A129" s="9" t="s">
        <v>743</v>
      </c>
      <c r="B129" s="10" t="s">
        <v>744</v>
      </c>
      <c r="C129" s="11" t="s">
        <v>725</v>
      </c>
      <c r="D129" s="11" t="s">
        <v>285</v>
      </c>
      <c r="E129" s="11" t="s">
        <v>303</v>
      </c>
      <c r="F129" s="11"/>
      <c r="G129" s="10" t="s">
        <v>745</v>
      </c>
      <c r="H129" s="12" t="s">
        <v>309</v>
      </c>
    </row>
    <row r="130" spans="1:8" ht="16.7" customHeight="1" x14ac:dyDescent="0.25">
      <c r="A130" s="9" t="s">
        <v>746</v>
      </c>
      <c r="B130" s="10" t="s">
        <v>747</v>
      </c>
      <c r="C130" s="11" t="s">
        <v>725</v>
      </c>
      <c r="D130" s="11" t="s">
        <v>284</v>
      </c>
      <c r="E130" s="11" t="s">
        <v>303</v>
      </c>
      <c r="F130" s="11"/>
      <c r="G130" s="10" t="s">
        <v>748</v>
      </c>
      <c r="H130" s="12" t="s">
        <v>309</v>
      </c>
    </row>
    <row r="131" spans="1:8" ht="16.7" customHeight="1" x14ac:dyDescent="0.25">
      <c r="A131" s="9" t="s">
        <v>749</v>
      </c>
      <c r="B131" s="10" t="s">
        <v>750</v>
      </c>
      <c r="C131" s="11" t="s">
        <v>751</v>
      </c>
      <c r="D131" s="11" t="s">
        <v>285</v>
      </c>
      <c r="E131" s="11" t="s">
        <v>303</v>
      </c>
      <c r="F131" s="11"/>
      <c r="G131" s="10" t="s">
        <v>752</v>
      </c>
      <c r="H131" s="12" t="s">
        <v>309</v>
      </c>
    </row>
    <row r="132" spans="1:8" ht="16.7" customHeight="1" x14ac:dyDescent="0.25">
      <c r="A132" s="9" t="s">
        <v>753</v>
      </c>
      <c r="B132" s="10" t="s">
        <v>754</v>
      </c>
      <c r="C132" s="11" t="s">
        <v>751</v>
      </c>
      <c r="D132" s="11" t="s">
        <v>285</v>
      </c>
      <c r="E132" s="11" t="s">
        <v>303</v>
      </c>
      <c r="F132" s="11"/>
      <c r="G132" s="10" t="s">
        <v>755</v>
      </c>
      <c r="H132" s="12" t="s">
        <v>309</v>
      </c>
    </row>
    <row r="133" spans="1:8" ht="16.7" customHeight="1" x14ac:dyDescent="0.25">
      <c r="A133" s="9" t="s">
        <v>756</v>
      </c>
      <c r="B133" s="10" t="s">
        <v>757</v>
      </c>
      <c r="C133" s="11" t="s">
        <v>751</v>
      </c>
      <c r="D133" s="11" t="s">
        <v>285</v>
      </c>
      <c r="E133" s="11" t="s">
        <v>303</v>
      </c>
      <c r="F133" s="11"/>
      <c r="G133" s="10" t="s">
        <v>758</v>
      </c>
      <c r="H133" s="12" t="s">
        <v>309</v>
      </c>
    </row>
    <row r="134" spans="1:8" ht="16.7" customHeight="1" x14ac:dyDescent="0.25">
      <c r="A134" s="9" t="s">
        <v>759</v>
      </c>
      <c r="B134" s="10" t="s">
        <v>760</v>
      </c>
      <c r="C134" s="11" t="s">
        <v>751</v>
      </c>
      <c r="D134" s="11" t="s">
        <v>285</v>
      </c>
      <c r="E134" s="11" t="s">
        <v>303</v>
      </c>
      <c r="F134" s="11"/>
      <c r="G134" s="10" t="s">
        <v>761</v>
      </c>
      <c r="H134" s="12" t="s">
        <v>309</v>
      </c>
    </row>
    <row r="135" spans="1:8" ht="16.7" customHeight="1" x14ac:dyDescent="0.25">
      <c r="A135" s="9" t="s">
        <v>762</v>
      </c>
      <c r="B135" s="10" t="s">
        <v>763</v>
      </c>
      <c r="C135" s="11" t="s">
        <v>751</v>
      </c>
      <c r="D135" s="11" t="s">
        <v>285</v>
      </c>
      <c r="E135" s="11" t="s">
        <v>303</v>
      </c>
      <c r="F135" s="11"/>
      <c r="G135" s="10" t="s">
        <v>764</v>
      </c>
      <c r="H135" s="12" t="s">
        <v>305</v>
      </c>
    </row>
    <row r="136" spans="1:8" ht="16.7" customHeight="1" x14ac:dyDescent="0.25">
      <c r="A136" s="9" t="s">
        <v>765</v>
      </c>
      <c r="B136" s="10" t="s">
        <v>766</v>
      </c>
      <c r="C136" s="11" t="s">
        <v>767</v>
      </c>
      <c r="D136" s="11" t="s">
        <v>291</v>
      </c>
      <c r="E136" s="11" t="s">
        <v>303</v>
      </c>
      <c r="F136" s="11"/>
      <c r="G136" s="10" t="s">
        <v>768</v>
      </c>
      <c r="H136" s="12" t="s">
        <v>309</v>
      </c>
    </row>
    <row r="137" spans="1:8" ht="16.7" customHeight="1" x14ac:dyDescent="0.25">
      <c r="A137" s="9" t="s">
        <v>769</v>
      </c>
      <c r="B137" s="10" t="s">
        <v>770</v>
      </c>
      <c r="C137" s="11" t="s">
        <v>767</v>
      </c>
      <c r="D137" s="11" t="s">
        <v>291</v>
      </c>
      <c r="E137" s="11" t="s">
        <v>303</v>
      </c>
      <c r="F137" s="11"/>
      <c r="G137" s="10" t="s">
        <v>771</v>
      </c>
      <c r="H137" s="12" t="s">
        <v>309</v>
      </c>
    </row>
    <row r="138" spans="1:8" ht="16.7" customHeight="1" x14ac:dyDescent="0.25">
      <c r="A138" s="9" t="s">
        <v>772</v>
      </c>
      <c r="B138" s="10" t="s">
        <v>773</v>
      </c>
      <c r="C138" s="11" t="s">
        <v>767</v>
      </c>
      <c r="D138" s="11" t="s">
        <v>291</v>
      </c>
      <c r="E138" s="11" t="s">
        <v>303</v>
      </c>
      <c r="F138" s="11"/>
      <c r="G138" s="10" t="s">
        <v>774</v>
      </c>
      <c r="H138" s="12" t="s">
        <v>305</v>
      </c>
    </row>
    <row r="139" spans="1:8" ht="16.7" customHeight="1" x14ac:dyDescent="0.25">
      <c r="A139" s="9" t="s">
        <v>775</v>
      </c>
      <c r="B139" s="10" t="s">
        <v>776</v>
      </c>
      <c r="C139" s="11" t="s">
        <v>767</v>
      </c>
      <c r="D139" s="11" t="s">
        <v>291</v>
      </c>
      <c r="E139" s="11" t="s">
        <v>303</v>
      </c>
      <c r="F139" s="11" t="s">
        <v>597</v>
      </c>
      <c r="G139" s="10" t="s">
        <v>777</v>
      </c>
      <c r="H139" s="12" t="s">
        <v>309</v>
      </c>
    </row>
    <row r="140" spans="1:8" ht="16.7" customHeight="1" x14ac:dyDescent="0.25">
      <c r="A140" s="9" t="s">
        <v>778</v>
      </c>
      <c r="B140" s="10" t="s">
        <v>779</v>
      </c>
      <c r="C140" s="11" t="s">
        <v>780</v>
      </c>
      <c r="D140" s="11" t="s">
        <v>291</v>
      </c>
      <c r="E140" s="11" t="s">
        <v>303</v>
      </c>
      <c r="F140" s="11"/>
      <c r="G140" s="10" t="s">
        <v>781</v>
      </c>
      <c r="H140" s="12" t="s">
        <v>305</v>
      </c>
    </row>
    <row r="141" spans="1:8" ht="16.7" customHeight="1" x14ac:dyDescent="0.25">
      <c r="A141" s="9" t="s">
        <v>782</v>
      </c>
      <c r="B141" s="10" t="s">
        <v>783</v>
      </c>
      <c r="C141" s="11" t="s">
        <v>780</v>
      </c>
      <c r="D141" s="11" t="s">
        <v>291</v>
      </c>
      <c r="E141" s="11" t="s">
        <v>303</v>
      </c>
      <c r="F141" s="11" t="s">
        <v>784</v>
      </c>
      <c r="G141" s="10" t="s">
        <v>785</v>
      </c>
      <c r="H141" s="12" t="s">
        <v>309</v>
      </c>
    </row>
    <row r="142" spans="1:8" ht="16.7" customHeight="1" x14ac:dyDescent="0.25">
      <c r="A142" s="9" t="s">
        <v>786</v>
      </c>
      <c r="B142" s="10" t="s">
        <v>787</v>
      </c>
      <c r="C142" s="11" t="s">
        <v>780</v>
      </c>
      <c r="D142" s="11" t="s">
        <v>291</v>
      </c>
      <c r="E142" s="11" t="s">
        <v>303</v>
      </c>
      <c r="F142" s="11" t="s">
        <v>788</v>
      </c>
      <c r="G142" s="10" t="s">
        <v>789</v>
      </c>
      <c r="H142" s="12" t="s">
        <v>309</v>
      </c>
    </row>
    <row r="143" spans="1:8" ht="16.7" customHeight="1" x14ac:dyDescent="0.25">
      <c r="A143" s="9" t="s">
        <v>790</v>
      </c>
      <c r="B143" s="10" t="s">
        <v>791</v>
      </c>
      <c r="C143" s="11" t="s">
        <v>792</v>
      </c>
      <c r="D143" s="11" t="s">
        <v>288</v>
      </c>
      <c r="E143" s="11" t="s">
        <v>303</v>
      </c>
      <c r="F143" s="11"/>
      <c r="G143" s="10" t="s">
        <v>793</v>
      </c>
      <c r="H143" s="12" t="s">
        <v>305</v>
      </c>
    </row>
    <row r="144" spans="1:8" ht="16.7" customHeight="1" x14ac:dyDescent="0.25">
      <c r="A144" s="9" t="s">
        <v>794</v>
      </c>
      <c r="B144" s="10" t="s">
        <v>795</v>
      </c>
      <c r="C144" s="11" t="s">
        <v>792</v>
      </c>
      <c r="D144" s="11" t="s">
        <v>288</v>
      </c>
      <c r="E144" s="11" t="s">
        <v>303</v>
      </c>
      <c r="F144" s="11"/>
      <c r="G144" s="10" t="s">
        <v>796</v>
      </c>
      <c r="H144" s="12" t="s">
        <v>309</v>
      </c>
    </row>
    <row r="145" spans="1:8" ht="16.7" customHeight="1" x14ac:dyDescent="0.25">
      <c r="A145" s="9" t="s">
        <v>797</v>
      </c>
      <c r="B145" s="10" t="s">
        <v>798</v>
      </c>
      <c r="C145" s="11" t="s">
        <v>799</v>
      </c>
      <c r="D145" s="11" t="s">
        <v>287</v>
      </c>
      <c r="E145" s="11" t="s">
        <v>303</v>
      </c>
      <c r="F145" s="11"/>
      <c r="G145" s="10" t="s">
        <v>800</v>
      </c>
      <c r="H145" s="12" t="s">
        <v>305</v>
      </c>
    </row>
    <row r="146" spans="1:8" ht="16.7" customHeight="1" x14ac:dyDescent="0.25">
      <c r="A146" s="9" t="s">
        <v>801</v>
      </c>
      <c r="B146" s="10" t="s">
        <v>802</v>
      </c>
      <c r="C146" s="11" t="s">
        <v>799</v>
      </c>
      <c r="D146" s="11" t="s">
        <v>287</v>
      </c>
      <c r="E146" s="11" t="s">
        <v>303</v>
      </c>
      <c r="F146" s="11"/>
      <c r="G146" s="10" t="s">
        <v>803</v>
      </c>
      <c r="H146" s="12" t="s">
        <v>309</v>
      </c>
    </row>
    <row r="147" spans="1:8" ht="29.25" customHeight="1" x14ac:dyDescent="0.25">
      <c r="A147" s="9" t="s">
        <v>804</v>
      </c>
      <c r="B147" s="10" t="s">
        <v>805</v>
      </c>
      <c r="C147" s="11" t="s">
        <v>806</v>
      </c>
      <c r="D147" s="11" t="s">
        <v>288</v>
      </c>
      <c r="E147" s="11" t="s">
        <v>649</v>
      </c>
      <c r="F147" s="11" t="s">
        <v>807</v>
      </c>
      <c r="G147" s="10" t="s">
        <v>808</v>
      </c>
      <c r="H147" s="12" t="s">
        <v>386</v>
      </c>
    </row>
    <row r="148" spans="1:8" ht="16.7" customHeight="1" x14ac:dyDescent="0.25">
      <c r="A148" s="9" t="s">
        <v>809</v>
      </c>
      <c r="B148" s="10" t="s">
        <v>810</v>
      </c>
      <c r="C148" s="11" t="s">
        <v>806</v>
      </c>
      <c r="D148" s="11" t="s">
        <v>288</v>
      </c>
      <c r="E148" s="11" t="s">
        <v>649</v>
      </c>
      <c r="F148" s="11"/>
      <c r="G148" s="10" t="s">
        <v>811</v>
      </c>
      <c r="H148" s="12" t="s">
        <v>309</v>
      </c>
    </row>
    <row r="149" spans="1:8" ht="16.7" customHeight="1" x14ac:dyDescent="0.25">
      <c r="A149" s="9" t="s">
        <v>812</v>
      </c>
      <c r="B149" s="10" t="s">
        <v>813</v>
      </c>
      <c r="C149" s="11" t="s">
        <v>806</v>
      </c>
      <c r="D149" s="11" t="s">
        <v>288</v>
      </c>
      <c r="E149" s="11" t="s">
        <v>649</v>
      </c>
      <c r="F149" s="11"/>
      <c r="G149" s="10" t="s">
        <v>814</v>
      </c>
      <c r="H149" s="12" t="s">
        <v>305</v>
      </c>
    </row>
    <row r="150" spans="1:8" ht="16.7" customHeight="1" x14ac:dyDescent="0.25">
      <c r="A150" s="9" t="s">
        <v>815</v>
      </c>
      <c r="B150" s="10" t="s">
        <v>816</v>
      </c>
      <c r="C150" s="11" t="s">
        <v>817</v>
      </c>
      <c r="D150" s="11" t="s">
        <v>287</v>
      </c>
      <c r="E150" s="11" t="s">
        <v>649</v>
      </c>
      <c r="F150" s="11" t="s">
        <v>818</v>
      </c>
      <c r="G150" s="10" t="s">
        <v>819</v>
      </c>
      <c r="H150" s="12" t="s">
        <v>305</v>
      </c>
    </row>
    <row r="151" spans="1:8" ht="16.7" customHeight="1" x14ac:dyDescent="0.25">
      <c r="A151" s="9" t="s">
        <v>820</v>
      </c>
      <c r="B151" s="10" t="s">
        <v>821</v>
      </c>
      <c r="C151" s="11" t="s">
        <v>817</v>
      </c>
      <c r="D151" s="11" t="s">
        <v>287</v>
      </c>
      <c r="E151" s="11" t="s">
        <v>649</v>
      </c>
      <c r="F151" s="11" t="s">
        <v>818</v>
      </c>
      <c r="G151" s="10" t="s">
        <v>822</v>
      </c>
      <c r="H151" s="12" t="s">
        <v>309</v>
      </c>
    </row>
    <row r="152" spans="1:8" ht="16.7" customHeight="1" x14ac:dyDescent="0.25">
      <c r="A152" s="9" t="s">
        <v>823</v>
      </c>
      <c r="B152" s="10" t="s">
        <v>824</v>
      </c>
      <c r="C152" s="11" t="s">
        <v>817</v>
      </c>
      <c r="D152" s="11" t="s">
        <v>287</v>
      </c>
      <c r="E152" s="11" t="s">
        <v>649</v>
      </c>
      <c r="F152" s="11" t="s">
        <v>825</v>
      </c>
      <c r="G152" s="10" t="s">
        <v>826</v>
      </c>
      <c r="H152" s="12" t="s">
        <v>309</v>
      </c>
    </row>
    <row r="153" spans="1:8" ht="16.7" customHeight="1" x14ac:dyDescent="0.25">
      <c r="A153" s="9" t="s">
        <v>827</v>
      </c>
      <c r="B153" s="10" t="s">
        <v>828</v>
      </c>
      <c r="C153" s="11" t="s">
        <v>817</v>
      </c>
      <c r="D153" s="11" t="s">
        <v>287</v>
      </c>
      <c r="E153" s="11" t="s">
        <v>649</v>
      </c>
      <c r="F153" s="11" t="s">
        <v>829</v>
      </c>
      <c r="G153" s="10" t="s">
        <v>830</v>
      </c>
      <c r="H153" s="12" t="s">
        <v>309</v>
      </c>
    </row>
    <row r="154" spans="1:8" ht="16.7" customHeight="1" x14ac:dyDescent="0.25">
      <c r="A154" s="9" t="s">
        <v>831</v>
      </c>
      <c r="B154" s="10" t="s">
        <v>832</v>
      </c>
      <c r="C154" s="11" t="s">
        <v>817</v>
      </c>
      <c r="D154" s="11" t="s">
        <v>287</v>
      </c>
      <c r="E154" s="11" t="s">
        <v>649</v>
      </c>
      <c r="F154" s="11"/>
      <c r="G154" s="10" t="s">
        <v>833</v>
      </c>
      <c r="H154" s="12" t="s">
        <v>309</v>
      </c>
    </row>
    <row r="155" spans="1:8" ht="16.7" customHeight="1" x14ac:dyDescent="0.25">
      <c r="A155" s="9" t="s">
        <v>834</v>
      </c>
      <c r="B155" s="10" t="s">
        <v>835</v>
      </c>
      <c r="C155" s="11" t="s">
        <v>817</v>
      </c>
      <c r="D155" s="11" t="s">
        <v>287</v>
      </c>
      <c r="E155" s="11" t="s">
        <v>649</v>
      </c>
      <c r="F155" s="11" t="s">
        <v>818</v>
      </c>
      <c r="G155" s="10" t="s">
        <v>836</v>
      </c>
      <c r="H155" s="12" t="s">
        <v>309</v>
      </c>
    </row>
    <row r="156" spans="1:8" ht="16.7" customHeight="1" x14ac:dyDescent="0.25">
      <c r="A156" s="9" t="s">
        <v>837</v>
      </c>
      <c r="B156" s="10" t="s">
        <v>838</v>
      </c>
      <c r="C156" s="11" t="s">
        <v>817</v>
      </c>
      <c r="D156" s="11" t="s">
        <v>287</v>
      </c>
      <c r="E156" s="11" t="s">
        <v>649</v>
      </c>
      <c r="F156" s="11"/>
      <c r="G156" s="10" t="s">
        <v>839</v>
      </c>
      <c r="H156" s="12" t="s">
        <v>309</v>
      </c>
    </row>
    <row r="157" spans="1:8" ht="16.7" customHeight="1" x14ac:dyDescent="0.25">
      <c r="A157" s="9" t="s">
        <v>840</v>
      </c>
      <c r="B157" s="10" t="s">
        <v>841</v>
      </c>
      <c r="C157" s="11" t="s">
        <v>842</v>
      </c>
      <c r="D157" s="11" t="s">
        <v>275</v>
      </c>
      <c r="E157" s="11" t="s">
        <v>303</v>
      </c>
      <c r="F157" s="11" t="s">
        <v>843</v>
      </c>
      <c r="G157" s="10" t="s">
        <v>844</v>
      </c>
      <c r="H157" s="12" t="s">
        <v>305</v>
      </c>
    </row>
    <row r="158" spans="1:8" ht="16.7" customHeight="1" x14ac:dyDescent="0.25">
      <c r="A158" s="9" t="s">
        <v>845</v>
      </c>
      <c r="B158" s="10" t="s">
        <v>846</v>
      </c>
      <c r="C158" s="11" t="s">
        <v>842</v>
      </c>
      <c r="D158" s="11" t="s">
        <v>275</v>
      </c>
      <c r="E158" s="11" t="s">
        <v>303</v>
      </c>
      <c r="F158" s="11" t="s">
        <v>847</v>
      </c>
      <c r="G158" s="10" t="s">
        <v>848</v>
      </c>
      <c r="H158" s="12" t="s">
        <v>309</v>
      </c>
    </row>
    <row r="159" spans="1:8" ht="16.7" customHeight="1" x14ac:dyDescent="0.25">
      <c r="A159" s="9" t="s">
        <v>849</v>
      </c>
      <c r="B159" s="10" t="s">
        <v>850</v>
      </c>
      <c r="C159" s="11" t="s">
        <v>842</v>
      </c>
      <c r="D159" s="11" t="s">
        <v>275</v>
      </c>
      <c r="E159" s="11" t="s">
        <v>303</v>
      </c>
      <c r="F159" s="11"/>
      <c r="G159" s="10" t="s">
        <v>851</v>
      </c>
      <c r="H159" s="12" t="s">
        <v>305</v>
      </c>
    </row>
    <row r="160" spans="1:8" ht="29.25" customHeight="1" x14ac:dyDescent="0.25">
      <c r="A160" s="9" t="s">
        <v>852</v>
      </c>
      <c r="B160" s="10" t="s">
        <v>853</v>
      </c>
      <c r="C160" s="11" t="s">
        <v>842</v>
      </c>
      <c r="D160" s="11" t="s">
        <v>287</v>
      </c>
      <c r="E160" s="11" t="s">
        <v>303</v>
      </c>
      <c r="F160" s="11"/>
      <c r="G160" s="10" t="s">
        <v>854</v>
      </c>
      <c r="H160" s="12" t="s">
        <v>386</v>
      </c>
    </row>
    <row r="161" spans="1:8" ht="16.7" customHeight="1" x14ac:dyDescent="0.25">
      <c r="A161" s="9" t="s">
        <v>855</v>
      </c>
      <c r="B161" s="10" t="s">
        <v>856</v>
      </c>
      <c r="C161" s="11" t="s">
        <v>842</v>
      </c>
      <c r="D161" s="11" t="s">
        <v>287</v>
      </c>
      <c r="E161" s="11" t="s">
        <v>303</v>
      </c>
      <c r="F161" s="11"/>
      <c r="G161" s="10" t="s">
        <v>857</v>
      </c>
      <c r="H161" s="12" t="s">
        <v>305</v>
      </c>
    </row>
    <row r="162" spans="1:8" ht="16.7" customHeight="1" x14ac:dyDescent="0.25">
      <c r="A162" s="9" t="s">
        <v>858</v>
      </c>
      <c r="B162" s="10" t="s">
        <v>859</v>
      </c>
      <c r="C162" s="11" t="s">
        <v>842</v>
      </c>
      <c r="D162" s="11" t="s">
        <v>287</v>
      </c>
      <c r="E162" s="11" t="s">
        <v>303</v>
      </c>
      <c r="F162" s="11"/>
      <c r="G162" s="10" t="s">
        <v>860</v>
      </c>
      <c r="H162" s="12" t="s">
        <v>309</v>
      </c>
    </row>
    <row r="163" spans="1:8" ht="16.7" customHeight="1" x14ac:dyDescent="0.25">
      <c r="A163" s="9" t="s">
        <v>861</v>
      </c>
      <c r="B163" s="10" t="s">
        <v>862</v>
      </c>
      <c r="C163" s="11" t="s">
        <v>863</v>
      </c>
      <c r="D163" s="11" t="s">
        <v>287</v>
      </c>
      <c r="E163" s="11" t="s">
        <v>864</v>
      </c>
      <c r="F163" s="11"/>
      <c r="G163" s="10" t="s">
        <v>865</v>
      </c>
      <c r="H163" s="12" t="s">
        <v>309</v>
      </c>
    </row>
    <row r="164" spans="1:8" ht="16.7" customHeight="1" x14ac:dyDescent="0.25">
      <c r="A164" s="9" t="s">
        <v>866</v>
      </c>
      <c r="B164" s="10" t="s">
        <v>867</v>
      </c>
      <c r="C164" s="11" t="s">
        <v>863</v>
      </c>
      <c r="D164" s="11" t="s">
        <v>287</v>
      </c>
      <c r="E164" s="11" t="s">
        <v>864</v>
      </c>
      <c r="F164" s="11" t="s">
        <v>868</v>
      </c>
      <c r="G164" s="10" t="s">
        <v>869</v>
      </c>
      <c r="H164" s="12" t="s">
        <v>309</v>
      </c>
    </row>
    <row r="165" spans="1:8" ht="29.25" customHeight="1" x14ac:dyDescent="0.25">
      <c r="A165" s="9" t="s">
        <v>870</v>
      </c>
      <c r="B165" s="10" t="s">
        <v>871</v>
      </c>
      <c r="C165" s="11" t="s">
        <v>872</v>
      </c>
      <c r="D165" s="11" t="s">
        <v>277</v>
      </c>
      <c r="E165" s="11" t="s">
        <v>303</v>
      </c>
      <c r="F165" s="11"/>
      <c r="G165" s="10" t="s">
        <v>873</v>
      </c>
      <c r="H165" s="12" t="s">
        <v>382</v>
      </c>
    </row>
    <row r="166" spans="1:8" ht="16.7" customHeight="1" x14ac:dyDescent="0.25">
      <c r="A166" s="9" t="s">
        <v>874</v>
      </c>
      <c r="B166" s="10" t="s">
        <v>875</v>
      </c>
      <c r="C166" s="11" t="s">
        <v>872</v>
      </c>
      <c r="D166" s="11" t="s">
        <v>277</v>
      </c>
      <c r="E166" s="11" t="s">
        <v>303</v>
      </c>
      <c r="F166" s="11"/>
      <c r="G166" s="10" t="s">
        <v>876</v>
      </c>
      <c r="H166" s="12" t="s">
        <v>305</v>
      </c>
    </row>
    <row r="167" spans="1:8" ht="16.7" customHeight="1" x14ac:dyDescent="0.25">
      <c r="A167" s="9" t="s">
        <v>877</v>
      </c>
      <c r="B167" s="10" t="s">
        <v>878</v>
      </c>
      <c r="C167" s="11" t="s">
        <v>879</v>
      </c>
      <c r="D167" s="11" t="s">
        <v>287</v>
      </c>
      <c r="E167" s="11" t="s">
        <v>401</v>
      </c>
      <c r="F167" s="11"/>
      <c r="G167" s="10"/>
      <c r="H167" s="13" t="s">
        <v>402</v>
      </c>
    </row>
    <row r="168" spans="1:8" ht="29.25" customHeight="1" x14ac:dyDescent="0.25">
      <c r="A168" s="9" t="s">
        <v>880</v>
      </c>
      <c r="B168" s="10" t="s">
        <v>881</v>
      </c>
      <c r="C168" s="11" t="s">
        <v>882</v>
      </c>
      <c r="D168" s="11" t="s">
        <v>290</v>
      </c>
      <c r="E168" s="11" t="s">
        <v>303</v>
      </c>
      <c r="F168" s="11" t="s">
        <v>883</v>
      </c>
      <c r="G168" s="10" t="s">
        <v>884</v>
      </c>
      <c r="H168" s="12" t="s">
        <v>386</v>
      </c>
    </row>
    <row r="169" spans="1:8" ht="16.7" customHeight="1" x14ac:dyDescent="0.25">
      <c r="A169" s="9" t="s">
        <v>885</v>
      </c>
      <c r="B169" s="10" t="s">
        <v>886</v>
      </c>
      <c r="C169" s="11" t="s">
        <v>882</v>
      </c>
      <c r="D169" s="11" t="s">
        <v>290</v>
      </c>
      <c r="E169" s="11" t="s">
        <v>303</v>
      </c>
      <c r="F169" s="11" t="s">
        <v>887</v>
      </c>
      <c r="G169" s="10" t="s">
        <v>888</v>
      </c>
      <c r="H169" s="12" t="s">
        <v>305</v>
      </c>
    </row>
    <row r="170" spans="1:8" ht="16.7" customHeight="1" x14ac:dyDescent="0.25">
      <c r="A170" s="9" t="s">
        <v>889</v>
      </c>
      <c r="B170" s="10" t="s">
        <v>890</v>
      </c>
      <c r="C170" s="11" t="s">
        <v>882</v>
      </c>
      <c r="D170" s="11" t="s">
        <v>290</v>
      </c>
      <c r="E170" s="11" t="s">
        <v>303</v>
      </c>
      <c r="F170" s="11"/>
      <c r="G170" s="10" t="s">
        <v>891</v>
      </c>
      <c r="H170" s="12" t="s">
        <v>309</v>
      </c>
    </row>
    <row r="171" spans="1:8" ht="16.7" customHeight="1" x14ac:dyDescent="0.25">
      <c r="A171" s="9" t="s">
        <v>892</v>
      </c>
      <c r="B171" s="10" t="s">
        <v>893</v>
      </c>
      <c r="C171" s="11" t="s">
        <v>882</v>
      </c>
      <c r="D171" s="11" t="s">
        <v>290</v>
      </c>
      <c r="E171" s="11" t="s">
        <v>303</v>
      </c>
      <c r="F171" s="11"/>
      <c r="G171" s="10" t="s">
        <v>894</v>
      </c>
      <c r="H171" s="12" t="s">
        <v>305</v>
      </c>
    </row>
    <row r="172" spans="1:8" ht="16.7" customHeight="1" x14ac:dyDescent="0.25">
      <c r="A172" s="9" t="s">
        <v>895</v>
      </c>
      <c r="B172" s="10" t="s">
        <v>896</v>
      </c>
      <c r="C172" s="11" t="s">
        <v>882</v>
      </c>
      <c r="D172" s="11" t="s">
        <v>290</v>
      </c>
      <c r="E172" s="11" t="s">
        <v>303</v>
      </c>
      <c r="F172" s="11"/>
      <c r="G172" s="10" t="s">
        <v>897</v>
      </c>
      <c r="H172" s="12" t="s">
        <v>309</v>
      </c>
    </row>
    <row r="173" spans="1:8" ht="16.7" customHeight="1" x14ac:dyDescent="0.25">
      <c r="A173" s="9" t="s">
        <v>898</v>
      </c>
      <c r="B173" s="10" t="s">
        <v>899</v>
      </c>
      <c r="C173" s="11" t="s">
        <v>900</v>
      </c>
      <c r="D173" s="11" t="s">
        <v>277</v>
      </c>
      <c r="E173" s="11" t="s">
        <v>303</v>
      </c>
      <c r="F173" s="11"/>
      <c r="G173" s="10" t="s">
        <v>901</v>
      </c>
      <c r="H173" s="12" t="s">
        <v>305</v>
      </c>
    </row>
    <row r="174" spans="1:8" ht="16.7" customHeight="1" x14ac:dyDescent="0.25">
      <c r="A174" s="9" t="s">
        <v>902</v>
      </c>
      <c r="B174" s="10" t="s">
        <v>903</v>
      </c>
      <c r="C174" s="11" t="s">
        <v>900</v>
      </c>
      <c r="D174" s="11" t="s">
        <v>277</v>
      </c>
      <c r="E174" s="11" t="s">
        <v>303</v>
      </c>
      <c r="F174" s="11"/>
      <c r="G174" s="10" t="s">
        <v>904</v>
      </c>
      <c r="H174" s="12" t="s">
        <v>305</v>
      </c>
    </row>
    <row r="175" spans="1:8" ht="41.85" customHeight="1" x14ac:dyDescent="0.25">
      <c r="A175" s="9" t="s">
        <v>905</v>
      </c>
      <c r="B175" s="10" t="s">
        <v>278</v>
      </c>
      <c r="C175" s="11" t="s">
        <v>906</v>
      </c>
      <c r="D175" s="11" t="s">
        <v>278</v>
      </c>
      <c r="E175" s="11" t="s">
        <v>303</v>
      </c>
      <c r="F175" s="11"/>
      <c r="G175" s="10" t="s">
        <v>907</v>
      </c>
      <c r="H175" s="12" t="s">
        <v>908</v>
      </c>
    </row>
    <row r="176" spans="1:8" ht="16.7" customHeight="1" x14ac:dyDescent="0.25">
      <c r="A176" s="9" t="s">
        <v>909</v>
      </c>
      <c r="B176" s="10" t="s">
        <v>910</v>
      </c>
      <c r="C176" s="11" t="s">
        <v>906</v>
      </c>
      <c r="D176" s="11" t="s">
        <v>290</v>
      </c>
      <c r="E176" s="11" t="s">
        <v>303</v>
      </c>
      <c r="F176" s="11"/>
      <c r="G176" s="10" t="s">
        <v>911</v>
      </c>
      <c r="H176" s="12" t="s">
        <v>309</v>
      </c>
    </row>
    <row r="177" spans="1:8" ht="16.7" customHeight="1" x14ac:dyDescent="0.25">
      <c r="A177" s="9" t="s">
        <v>912</v>
      </c>
      <c r="B177" s="10" t="s">
        <v>913</v>
      </c>
      <c r="C177" s="11" t="s">
        <v>906</v>
      </c>
      <c r="D177" s="11" t="s">
        <v>290</v>
      </c>
      <c r="E177" s="11" t="s">
        <v>303</v>
      </c>
      <c r="F177" s="11"/>
      <c r="G177" s="10" t="s">
        <v>914</v>
      </c>
      <c r="H177" s="12" t="s">
        <v>305</v>
      </c>
    </row>
    <row r="178" spans="1:8" ht="16.7" customHeight="1" x14ac:dyDescent="0.25">
      <c r="A178" s="9" t="s">
        <v>915</v>
      </c>
      <c r="B178" s="10" t="s">
        <v>916</v>
      </c>
      <c r="C178" s="11" t="s">
        <v>906</v>
      </c>
      <c r="D178" s="11" t="s">
        <v>278</v>
      </c>
      <c r="E178" s="11" t="s">
        <v>303</v>
      </c>
      <c r="F178" s="11"/>
      <c r="G178" s="10" t="s">
        <v>917</v>
      </c>
      <c r="H178" s="12" t="s">
        <v>305</v>
      </c>
    </row>
    <row r="179" spans="1:8" ht="29.25" customHeight="1" x14ac:dyDescent="0.25">
      <c r="A179" s="9" t="s">
        <v>918</v>
      </c>
      <c r="B179" s="10" t="s">
        <v>919</v>
      </c>
      <c r="C179" s="11" t="s">
        <v>906</v>
      </c>
      <c r="D179" s="11" t="s">
        <v>290</v>
      </c>
      <c r="E179" s="11" t="s">
        <v>303</v>
      </c>
      <c r="F179" s="11" t="s">
        <v>887</v>
      </c>
      <c r="G179" s="10" t="s">
        <v>920</v>
      </c>
      <c r="H179" s="12" t="s">
        <v>386</v>
      </c>
    </row>
    <row r="180" spans="1:8" ht="16.7" customHeight="1" x14ac:dyDescent="0.25">
      <c r="A180" s="9" t="s">
        <v>921</v>
      </c>
      <c r="B180" s="10" t="s">
        <v>922</v>
      </c>
      <c r="C180" s="11" t="s">
        <v>906</v>
      </c>
      <c r="D180" s="11" t="s">
        <v>290</v>
      </c>
      <c r="E180" s="11" t="s">
        <v>303</v>
      </c>
      <c r="F180" s="11"/>
      <c r="G180" s="10" t="s">
        <v>923</v>
      </c>
      <c r="H180" s="12" t="s">
        <v>305</v>
      </c>
    </row>
    <row r="181" spans="1:8" ht="16.7" customHeight="1" x14ac:dyDescent="0.25">
      <c r="A181" s="9" t="s">
        <v>924</v>
      </c>
      <c r="B181" s="10" t="s">
        <v>925</v>
      </c>
      <c r="C181" s="11" t="s">
        <v>906</v>
      </c>
      <c r="D181" s="11" t="s">
        <v>290</v>
      </c>
      <c r="E181" s="11" t="s">
        <v>303</v>
      </c>
      <c r="F181" s="11"/>
      <c r="G181" s="10" t="s">
        <v>926</v>
      </c>
      <c r="H181" s="12" t="s">
        <v>305</v>
      </c>
    </row>
    <row r="182" spans="1:8" ht="16.7" customHeight="1" x14ac:dyDescent="0.25">
      <c r="A182" s="9" t="s">
        <v>927</v>
      </c>
      <c r="B182" s="10" t="s">
        <v>928</v>
      </c>
      <c r="C182" s="11" t="s">
        <v>929</v>
      </c>
      <c r="D182" s="11" t="s">
        <v>290</v>
      </c>
      <c r="E182" s="11" t="s">
        <v>401</v>
      </c>
      <c r="F182" s="11"/>
      <c r="G182" s="10"/>
      <c r="H182" s="13" t="s">
        <v>402</v>
      </c>
    </row>
    <row r="183" spans="1:8" ht="16.7" customHeight="1" x14ac:dyDescent="0.25">
      <c r="A183" s="9" t="s">
        <v>930</v>
      </c>
      <c r="B183" s="10" t="s">
        <v>931</v>
      </c>
      <c r="C183" s="11" t="s">
        <v>932</v>
      </c>
      <c r="D183" s="11" t="s">
        <v>279</v>
      </c>
      <c r="E183" s="11" t="s">
        <v>303</v>
      </c>
      <c r="F183" s="11"/>
      <c r="G183" s="10" t="s">
        <v>933</v>
      </c>
      <c r="H183" s="12" t="s">
        <v>305</v>
      </c>
    </row>
    <row r="184" spans="1:8" ht="16.7" customHeight="1" x14ac:dyDescent="0.25">
      <c r="A184" s="9" t="s">
        <v>934</v>
      </c>
      <c r="B184" s="10" t="s">
        <v>935</v>
      </c>
      <c r="C184" s="11" t="s">
        <v>932</v>
      </c>
      <c r="D184" s="11" t="s">
        <v>279</v>
      </c>
      <c r="E184" s="11" t="s">
        <v>303</v>
      </c>
      <c r="F184" s="11"/>
      <c r="G184" s="10" t="s">
        <v>936</v>
      </c>
      <c r="H184" s="12" t="s">
        <v>305</v>
      </c>
    </row>
    <row r="185" spans="1:8" ht="16.7" customHeight="1" x14ac:dyDescent="0.25">
      <c r="A185" s="9" t="s">
        <v>937</v>
      </c>
      <c r="B185" s="10" t="s">
        <v>938</v>
      </c>
      <c r="C185" s="11" t="s">
        <v>932</v>
      </c>
      <c r="D185" s="11" t="s">
        <v>279</v>
      </c>
      <c r="E185" s="11" t="s">
        <v>303</v>
      </c>
      <c r="F185" s="11"/>
      <c r="G185" s="10" t="s">
        <v>939</v>
      </c>
      <c r="H185" s="12" t="s">
        <v>305</v>
      </c>
    </row>
    <row r="186" spans="1:8" ht="16.7" customHeight="1" x14ac:dyDescent="0.25">
      <c r="A186" s="9" t="s">
        <v>940</v>
      </c>
      <c r="B186" s="10" t="s">
        <v>941</v>
      </c>
      <c r="C186" s="11" t="s">
        <v>942</v>
      </c>
      <c r="D186" s="11" t="s">
        <v>279</v>
      </c>
      <c r="E186" s="11" t="s">
        <v>303</v>
      </c>
      <c r="F186" s="11"/>
      <c r="G186" s="10" t="s">
        <v>943</v>
      </c>
      <c r="H186" s="12" t="s">
        <v>305</v>
      </c>
    </row>
    <row r="187" spans="1:8" ht="29.25" customHeight="1" x14ac:dyDescent="0.25">
      <c r="A187" s="9" t="s">
        <v>944</v>
      </c>
      <c r="B187" s="10" t="s">
        <v>945</v>
      </c>
      <c r="C187" s="11" t="s">
        <v>942</v>
      </c>
      <c r="D187" s="11" t="s">
        <v>279</v>
      </c>
      <c r="E187" s="11" t="s">
        <v>303</v>
      </c>
      <c r="F187" s="11"/>
      <c r="G187" s="10" t="s">
        <v>946</v>
      </c>
      <c r="H187" s="12" t="s">
        <v>386</v>
      </c>
    </row>
    <row r="188" spans="1:8" ht="16.7" customHeight="1" x14ac:dyDescent="0.25">
      <c r="A188" s="9" t="s">
        <v>947</v>
      </c>
      <c r="B188" s="10" t="s">
        <v>948</v>
      </c>
      <c r="C188" s="11" t="s">
        <v>942</v>
      </c>
      <c r="D188" s="11" t="s">
        <v>279</v>
      </c>
      <c r="E188" s="11" t="s">
        <v>303</v>
      </c>
      <c r="F188" s="11"/>
      <c r="G188" s="10" t="s">
        <v>949</v>
      </c>
      <c r="H188" s="12" t="s">
        <v>309</v>
      </c>
    </row>
    <row r="189" spans="1:8" ht="16.7" customHeight="1" x14ac:dyDescent="0.25">
      <c r="A189" s="9" t="s">
        <v>950</v>
      </c>
      <c r="B189" s="10" t="s">
        <v>951</v>
      </c>
      <c r="C189" s="11" t="s">
        <v>942</v>
      </c>
      <c r="D189" s="11" t="s">
        <v>279</v>
      </c>
      <c r="E189" s="11" t="s">
        <v>303</v>
      </c>
      <c r="F189" s="11"/>
      <c r="G189" s="10" t="s">
        <v>952</v>
      </c>
      <c r="H189" s="12" t="s">
        <v>309</v>
      </c>
    </row>
    <row r="190" spans="1:8" ht="16.7" customHeight="1" x14ac:dyDescent="0.25">
      <c r="A190" s="9" t="s">
        <v>953</v>
      </c>
      <c r="B190" s="10" t="s">
        <v>954</v>
      </c>
      <c r="C190" s="11" t="s">
        <v>942</v>
      </c>
      <c r="D190" s="11" t="s">
        <v>279</v>
      </c>
      <c r="E190" s="11" t="s">
        <v>303</v>
      </c>
      <c r="F190" s="11" t="s">
        <v>818</v>
      </c>
      <c r="G190" s="10" t="s">
        <v>955</v>
      </c>
      <c r="H190" s="12" t="s">
        <v>305</v>
      </c>
    </row>
    <row r="191" spans="1:8" ht="16.7" customHeight="1" x14ac:dyDescent="0.25">
      <c r="A191" s="9" t="s">
        <v>956</v>
      </c>
      <c r="B191" s="10" t="s">
        <v>957</v>
      </c>
      <c r="C191" s="11" t="s">
        <v>942</v>
      </c>
      <c r="D191" s="11" t="s">
        <v>279</v>
      </c>
      <c r="E191" s="11" t="s">
        <v>303</v>
      </c>
      <c r="F191" s="11"/>
      <c r="G191" s="10" t="s">
        <v>958</v>
      </c>
      <c r="H191" s="12" t="s">
        <v>305</v>
      </c>
    </row>
    <row r="192" spans="1:8" ht="16.7" customHeight="1" x14ac:dyDescent="0.25">
      <c r="A192" s="9" t="s">
        <v>959</v>
      </c>
      <c r="B192" s="10" t="s">
        <v>960</v>
      </c>
      <c r="C192" s="11" t="s">
        <v>961</v>
      </c>
      <c r="D192" s="11" t="s">
        <v>279</v>
      </c>
      <c r="E192" s="11" t="s">
        <v>303</v>
      </c>
      <c r="F192" s="11"/>
      <c r="G192" s="10" t="s">
        <v>962</v>
      </c>
      <c r="H192" s="12" t="s">
        <v>305</v>
      </c>
    </row>
    <row r="193" spans="1:8" ht="16.7" customHeight="1" x14ac:dyDescent="0.25">
      <c r="A193" s="9" t="s">
        <v>963</v>
      </c>
      <c r="B193" s="10" t="s">
        <v>964</v>
      </c>
      <c r="C193" s="11" t="s">
        <v>965</v>
      </c>
      <c r="D193" s="11" t="s">
        <v>279</v>
      </c>
      <c r="E193" s="11" t="s">
        <v>303</v>
      </c>
      <c r="F193" s="11"/>
      <c r="G193" s="10" t="s">
        <v>966</v>
      </c>
      <c r="H193" s="12" t="s">
        <v>305</v>
      </c>
    </row>
    <row r="194" spans="1:8" ht="16.7" customHeight="1" x14ac:dyDescent="0.25">
      <c r="A194" s="9" t="s">
        <v>967</v>
      </c>
      <c r="B194" s="10" t="s">
        <v>968</v>
      </c>
      <c r="C194" s="11" t="s">
        <v>965</v>
      </c>
      <c r="D194" s="11" t="s">
        <v>291</v>
      </c>
      <c r="E194" s="11" t="s">
        <v>303</v>
      </c>
      <c r="F194" s="11"/>
      <c r="G194" s="10" t="s">
        <v>969</v>
      </c>
      <c r="H194" s="12" t="s">
        <v>305</v>
      </c>
    </row>
    <row r="195" spans="1:8" ht="16.7" customHeight="1" x14ac:dyDescent="0.25">
      <c r="A195" s="9" t="s">
        <v>970</v>
      </c>
      <c r="B195" s="10" t="s">
        <v>971</v>
      </c>
      <c r="C195" s="11" t="s">
        <v>965</v>
      </c>
      <c r="D195" s="11" t="s">
        <v>279</v>
      </c>
      <c r="E195" s="11" t="s">
        <v>303</v>
      </c>
      <c r="F195" s="11"/>
      <c r="G195" s="10" t="s">
        <v>972</v>
      </c>
      <c r="H195" s="12" t="s">
        <v>305</v>
      </c>
    </row>
    <row r="196" spans="1:8" ht="16.7" customHeight="1" x14ac:dyDescent="0.25">
      <c r="A196" s="9" t="s">
        <v>973</v>
      </c>
      <c r="B196" s="10" t="s">
        <v>974</v>
      </c>
      <c r="C196" s="11" t="s">
        <v>975</v>
      </c>
      <c r="D196" s="11" t="s">
        <v>292</v>
      </c>
      <c r="E196" s="11" t="s">
        <v>303</v>
      </c>
      <c r="F196" s="11"/>
      <c r="G196" s="10" t="s">
        <v>976</v>
      </c>
      <c r="H196" s="12" t="s">
        <v>305</v>
      </c>
    </row>
    <row r="197" spans="1:8" ht="16.7" customHeight="1" x14ac:dyDescent="0.25">
      <c r="A197" s="9" t="s">
        <v>977</v>
      </c>
      <c r="B197" s="10" t="s">
        <v>978</v>
      </c>
      <c r="C197" s="11" t="s">
        <v>975</v>
      </c>
      <c r="D197" s="11" t="s">
        <v>292</v>
      </c>
      <c r="E197" s="11" t="s">
        <v>303</v>
      </c>
      <c r="F197" s="11"/>
      <c r="G197" s="10" t="s">
        <v>979</v>
      </c>
      <c r="H197" s="12" t="s">
        <v>305</v>
      </c>
    </row>
    <row r="198" spans="1:8" ht="16.7" customHeight="1" x14ac:dyDescent="0.25">
      <c r="A198" s="9" t="s">
        <v>980</v>
      </c>
      <c r="B198" s="10" t="s">
        <v>981</v>
      </c>
      <c r="C198" s="11" t="s">
        <v>975</v>
      </c>
      <c r="D198" s="11" t="s">
        <v>292</v>
      </c>
      <c r="E198" s="11" t="s">
        <v>303</v>
      </c>
      <c r="F198" s="11"/>
      <c r="G198" s="10" t="s">
        <v>982</v>
      </c>
      <c r="H198" s="12" t="s">
        <v>309</v>
      </c>
    </row>
    <row r="199" spans="1:8" ht="16.7" customHeight="1" x14ac:dyDescent="0.25">
      <c r="A199" s="9" t="s">
        <v>983</v>
      </c>
      <c r="B199" s="10" t="s">
        <v>984</v>
      </c>
      <c r="C199" s="11" t="s">
        <v>975</v>
      </c>
      <c r="D199" s="11" t="s">
        <v>292</v>
      </c>
      <c r="E199" s="11" t="s">
        <v>303</v>
      </c>
      <c r="F199" s="11"/>
      <c r="G199" s="10" t="s">
        <v>985</v>
      </c>
      <c r="H199" s="12" t="s">
        <v>305</v>
      </c>
    </row>
    <row r="200" spans="1:8" ht="16.7" customHeight="1" x14ac:dyDescent="0.25">
      <c r="A200" s="9" t="s">
        <v>986</v>
      </c>
      <c r="B200" s="10" t="s">
        <v>987</v>
      </c>
      <c r="C200" s="11" t="s">
        <v>975</v>
      </c>
      <c r="D200" s="11" t="s">
        <v>292</v>
      </c>
      <c r="E200" s="11" t="s">
        <v>303</v>
      </c>
      <c r="F200" s="11"/>
      <c r="G200" s="10" t="s">
        <v>988</v>
      </c>
      <c r="H200" s="12" t="s">
        <v>309</v>
      </c>
    </row>
    <row r="201" spans="1:8" ht="16.7" customHeight="1" x14ac:dyDescent="0.25">
      <c r="A201" s="9" t="s">
        <v>989</v>
      </c>
      <c r="B201" s="10" t="s">
        <v>990</v>
      </c>
      <c r="C201" s="11" t="s">
        <v>991</v>
      </c>
      <c r="D201" s="11" t="s">
        <v>292</v>
      </c>
      <c r="E201" s="11" t="s">
        <v>303</v>
      </c>
      <c r="F201" s="11"/>
      <c r="G201" s="10" t="s">
        <v>992</v>
      </c>
      <c r="H201" s="12" t="s">
        <v>309</v>
      </c>
    </row>
    <row r="202" spans="1:8" ht="16.7" customHeight="1" x14ac:dyDescent="0.25">
      <c r="A202" s="9" t="s">
        <v>993</v>
      </c>
      <c r="B202" s="10" t="s">
        <v>994</v>
      </c>
      <c r="C202" s="11" t="s">
        <v>991</v>
      </c>
      <c r="D202" s="11" t="s">
        <v>292</v>
      </c>
      <c r="E202" s="11" t="s">
        <v>303</v>
      </c>
      <c r="F202" s="11"/>
      <c r="G202" s="10" t="s">
        <v>995</v>
      </c>
      <c r="H202" s="12" t="s">
        <v>309</v>
      </c>
    </row>
    <row r="203" spans="1:8" ht="29.25" customHeight="1" x14ac:dyDescent="0.25">
      <c r="A203" s="9" t="s">
        <v>996</v>
      </c>
      <c r="B203" s="10" t="s">
        <v>997</v>
      </c>
      <c r="C203" s="11" t="s">
        <v>991</v>
      </c>
      <c r="D203" s="11" t="s">
        <v>292</v>
      </c>
      <c r="E203" s="11" t="s">
        <v>303</v>
      </c>
      <c r="F203" s="11"/>
      <c r="G203" s="10" t="s">
        <v>998</v>
      </c>
      <c r="H203" s="12" t="s">
        <v>309</v>
      </c>
    </row>
    <row r="204" spans="1:8" ht="16.7" customHeight="1" x14ac:dyDescent="0.25">
      <c r="A204" s="9" t="s">
        <v>999</v>
      </c>
      <c r="B204" s="10" t="s">
        <v>1000</v>
      </c>
      <c r="C204" s="11" t="s">
        <v>991</v>
      </c>
      <c r="D204" s="11" t="s">
        <v>292</v>
      </c>
      <c r="E204" s="11" t="s">
        <v>303</v>
      </c>
      <c r="F204" s="11"/>
      <c r="G204" s="10" t="s">
        <v>1001</v>
      </c>
      <c r="H204" s="12" t="s">
        <v>309</v>
      </c>
    </row>
    <row r="205" spans="1:8" ht="16.7" customHeight="1" x14ac:dyDescent="0.25">
      <c r="A205" s="9" t="s">
        <v>1002</v>
      </c>
      <c r="B205" s="10" t="s">
        <v>1003</v>
      </c>
      <c r="C205" s="11" t="s">
        <v>1004</v>
      </c>
      <c r="D205" s="11" t="s">
        <v>292</v>
      </c>
      <c r="E205" s="11" t="s">
        <v>303</v>
      </c>
      <c r="F205" s="11"/>
      <c r="G205" s="10" t="s">
        <v>1005</v>
      </c>
      <c r="H205" s="12" t="s">
        <v>309</v>
      </c>
    </row>
    <row r="206" spans="1:8" ht="16.7" customHeight="1" x14ac:dyDescent="0.25">
      <c r="A206" s="9" t="s">
        <v>1006</v>
      </c>
      <c r="B206" s="10" t="s">
        <v>1007</v>
      </c>
      <c r="C206" s="11" t="s">
        <v>1004</v>
      </c>
      <c r="D206" s="11" t="s">
        <v>292</v>
      </c>
      <c r="E206" s="11" t="s">
        <v>303</v>
      </c>
      <c r="F206" s="11"/>
      <c r="G206" s="10" t="s">
        <v>1008</v>
      </c>
      <c r="H206" s="12" t="s">
        <v>309</v>
      </c>
    </row>
    <row r="207" spans="1:8" ht="16.7" customHeight="1" x14ac:dyDescent="0.25">
      <c r="A207" s="9" t="s">
        <v>1009</v>
      </c>
      <c r="B207" s="10" t="s">
        <v>1010</v>
      </c>
      <c r="C207" s="11" t="s">
        <v>1011</v>
      </c>
      <c r="D207" s="11" t="s">
        <v>289</v>
      </c>
      <c r="E207" s="11" t="s">
        <v>303</v>
      </c>
      <c r="F207" s="11" t="s">
        <v>626</v>
      </c>
      <c r="G207" s="10" t="s">
        <v>138</v>
      </c>
      <c r="H207" s="12" t="s">
        <v>309</v>
      </c>
    </row>
    <row r="208" spans="1:8" ht="16.7" customHeight="1" x14ac:dyDescent="0.25">
      <c r="A208" s="9" t="s">
        <v>1012</v>
      </c>
      <c r="B208" s="10" t="s">
        <v>1013</v>
      </c>
      <c r="C208" s="11" t="s">
        <v>1011</v>
      </c>
      <c r="D208" s="11" t="s">
        <v>289</v>
      </c>
      <c r="E208" s="11" t="s">
        <v>303</v>
      </c>
      <c r="F208" s="11" t="s">
        <v>626</v>
      </c>
      <c r="G208" s="10" t="s">
        <v>145</v>
      </c>
      <c r="H208" s="12" t="s">
        <v>309</v>
      </c>
    </row>
    <row r="209" spans="1:8" ht="16.7" customHeight="1" x14ac:dyDescent="0.25">
      <c r="A209" s="9" t="s">
        <v>1014</v>
      </c>
      <c r="B209" s="10" t="s">
        <v>1015</v>
      </c>
      <c r="C209" s="11" t="s">
        <v>1011</v>
      </c>
      <c r="D209" s="11" t="s">
        <v>289</v>
      </c>
      <c r="E209" s="11" t="s">
        <v>303</v>
      </c>
      <c r="F209" s="11"/>
      <c r="G209" s="10" t="s">
        <v>152</v>
      </c>
      <c r="H209" s="12" t="s">
        <v>309</v>
      </c>
    </row>
    <row r="210" spans="1:8" ht="16.7" customHeight="1" x14ac:dyDescent="0.25">
      <c r="A210" s="9" t="s">
        <v>1016</v>
      </c>
      <c r="B210" s="10" t="s">
        <v>1017</v>
      </c>
      <c r="C210" s="11" t="s">
        <v>1011</v>
      </c>
      <c r="D210" s="11" t="s">
        <v>289</v>
      </c>
      <c r="E210" s="11" t="s">
        <v>303</v>
      </c>
      <c r="F210" s="11"/>
      <c r="G210" s="10" t="s">
        <v>159</v>
      </c>
      <c r="H210" s="12" t="s">
        <v>309</v>
      </c>
    </row>
    <row r="211" spans="1:8" ht="16.7" customHeight="1" x14ac:dyDescent="0.25">
      <c r="A211" s="9" t="s">
        <v>1018</v>
      </c>
      <c r="B211" s="10" t="s">
        <v>1019</v>
      </c>
      <c r="C211" s="11" t="s">
        <v>1020</v>
      </c>
      <c r="D211" s="11" t="s">
        <v>290</v>
      </c>
      <c r="E211" s="11" t="s">
        <v>303</v>
      </c>
      <c r="F211" s="11" t="s">
        <v>1021</v>
      </c>
      <c r="G211" s="10" t="s">
        <v>1022</v>
      </c>
      <c r="H211" s="12" t="s">
        <v>309</v>
      </c>
    </row>
    <row r="212" spans="1:8" ht="16.7" customHeight="1" x14ac:dyDescent="0.25">
      <c r="A212" s="9" t="s">
        <v>1023</v>
      </c>
      <c r="B212" s="10" t="s">
        <v>1024</v>
      </c>
      <c r="C212" s="11" t="s">
        <v>1020</v>
      </c>
      <c r="D212" s="11" t="s">
        <v>290</v>
      </c>
      <c r="E212" s="11" t="s">
        <v>303</v>
      </c>
      <c r="F212" s="11" t="s">
        <v>701</v>
      </c>
      <c r="G212" s="10" t="s">
        <v>1025</v>
      </c>
      <c r="H212" s="12" t="s">
        <v>309</v>
      </c>
    </row>
    <row r="213" spans="1:8" ht="16.7" customHeight="1" x14ac:dyDescent="0.25">
      <c r="A213" s="9" t="s">
        <v>1026</v>
      </c>
      <c r="B213" s="10" t="s">
        <v>1027</v>
      </c>
      <c r="C213" s="11" t="s">
        <v>1020</v>
      </c>
      <c r="D213" s="11" t="s">
        <v>290</v>
      </c>
      <c r="E213" s="11" t="s">
        <v>303</v>
      </c>
      <c r="F213" s="11" t="s">
        <v>1028</v>
      </c>
      <c r="G213" s="10" t="s">
        <v>1029</v>
      </c>
      <c r="H213" s="12" t="s">
        <v>309</v>
      </c>
    </row>
    <row r="214" spans="1:8" ht="16.7" customHeight="1" x14ac:dyDescent="0.25">
      <c r="A214" s="9" t="s">
        <v>1030</v>
      </c>
      <c r="B214" s="10" t="s">
        <v>1031</v>
      </c>
      <c r="C214" s="11" t="s">
        <v>1020</v>
      </c>
      <c r="D214" s="11" t="s">
        <v>290</v>
      </c>
      <c r="E214" s="11" t="s">
        <v>303</v>
      </c>
      <c r="F214" s="11" t="s">
        <v>701</v>
      </c>
      <c r="G214" s="10" t="s">
        <v>1032</v>
      </c>
      <c r="H214" s="12" t="s">
        <v>309</v>
      </c>
    </row>
    <row r="215" spans="1:8" ht="16.7" customHeight="1" x14ac:dyDescent="0.25">
      <c r="A215" s="9" t="s">
        <v>1033</v>
      </c>
      <c r="B215" s="10" t="s">
        <v>1034</v>
      </c>
      <c r="C215" s="11" t="s">
        <v>1035</v>
      </c>
      <c r="D215" s="11" t="s">
        <v>289</v>
      </c>
      <c r="E215" s="11" t="s">
        <v>303</v>
      </c>
      <c r="F215" s="11"/>
      <c r="G215" s="10" t="s">
        <v>166</v>
      </c>
      <c r="H215" s="12" t="s">
        <v>309</v>
      </c>
    </row>
    <row r="216" spans="1:8" ht="16.7" customHeight="1" x14ac:dyDescent="0.25">
      <c r="A216" s="9" t="s">
        <v>1036</v>
      </c>
      <c r="B216" s="10" t="s">
        <v>1037</v>
      </c>
      <c r="C216" s="11" t="s">
        <v>1035</v>
      </c>
      <c r="D216" s="11" t="s">
        <v>289</v>
      </c>
      <c r="E216" s="11" t="s">
        <v>303</v>
      </c>
      <c r="F216" s="11"/>
      <c r="G216" s="10" t="s">
        <v>173</v>
      </c>
      <c r="H216" s="12" t="s">
        <v>309</v>
      </c>
    </row>
    <row r="217" spans="1:8" ht="16.7" customHeight="1" x14ac:dyDescent="0.25">
      <c r="A217" s="9" t="s">
        <v>1038</v>
      </c>
      <c r="B217" s="10" t="s">
        <v>1039</v>
      </c>
      <c r="C217" s="11" t="s">
        <v>1035</v>
      </c>
      <c r="D217" s="11" t="s">
        <v>289</v>
      </c>
      <c r="E217" s="11" t="s">
        <v>303</v>
      </c>
      <c r="F217" s="11"/>
      <c r="G217" s="10" t="s">
        <v>180</v>
      </c>
      <c r="H217" s="12" t="s">
        <v>309</v>
      </c>
    </row>
    <row r="218" spans="1:8" ht="16.7" customHeight="1" x14ac:dyDescent="0.25">
      <c r="A218" s="9" t="s">
        <v>1040</v>
      </c>
      <c r="B218" s="10" t="s">
        <v>1041</v>
      </c>
      <c r="C218" s="11" t="s">
        <v>1042</v>
      </c>
      <c r="D218" s="11" t="s">
        <v>289</v>
      </c>
      <c r="E218" s="11" t="s">
        <v>303</v>
      </c>
      <c r="F218" s="11"/>
      <c r="G218" s="10" t="s">
        <v>187</v>
      </c>
      <c r="H218" s="12" t="s">
        <v>309</v>
      </c>
    </row>
    <row r="219" spans="1:8" ht="16.7" customHeight="1" x14ac:dyDescent="0.25">
      <c r="A219" s="9" t="s">
        <v>1043</v>
      </c>
      <c r="B219" s="10" t="s">
        <v>1044</v>
      </c>
      <c r="C219" s="11" t="s">
        <v>1042</v>
      </c>
      <c r="D219" s="11" t="s">
        <v>289</v>
      </c>
      <c r="E219" s="11" t="s">
        <v>303</v>
      </c>
      <c r="F219" s="11"/>
      <c r="G219" s="10" t="s">
        <v>194</v>
      </c>
      <c r="H219" s="12" t="s">
        <v>309</v>
      </c>
    </row>
    <row r="220" spans="1:8" ht="16.7" customHeight="1" x14ac:dyDescent="0.25">
      <c r="A220" s="9" t="s">
        <v>1045</v>
      </c>
      <c r="B220" s="10" t="s">
        <v>1046</v>
      </c>
      <c r="C220" s="11" t="s">
        <v>1042</v>
      </c>
      <c r="D220" s="11" t="s">
        <v>289</v>
      </c>
      <c r="E220" s="11" t="s">
        <v>303</v>
      </c>
      <c r="F220" s="11"/>
      <c r="G220" s="10" t="s">
        <v>201</v>
      </c>
      <c r="H220" s="12" t="s">
        <v>309</v>
      </c>
    </row>
    <row r="221" spans="1:8" ht="16.7" customHeight="1" x14ac:dyDescent="0.25">
      <c r="A221" s="9" t="s">
        <v>1047</v>
      </c>
      <c r="B221" s="10" t="s">
        <v>1048</v>
      </c>
      <c r="C221" s="11" t="s">
        <v>1049</v>
      </c>
      <c r="D221" s="11" t="s">
        <v>289</v>
      </c>
      <c r="E221" s="11" t="s">
        <v>303</v>
      </c>
      <c r="F221" s="11"/>
      <c r="G221" s="10" t="s">
        <v>208</v>
      </c>
      <c r="H221" s="12" t="s">
        <v>309</v>
      </c>
    </row>
    <row r="222" spans="1:8" ht="16.7" customHeight="1" x14ac:dyDescent="0.25">
      <c r="A222" s="9" t="s">
        <v>1050</v>
      </c>
      <c r="B222" s="10" t="s">
        <v>1051</v>
      </c>
      <c r="C222" s="11" t="s">
        <v>1052</v>
      </c>
      <c r="D222" s="11" t="s">
        <v>291</v>
      </c>
      <c r="E222" s="11" t="s">
        <v>303</v>
      </c>
      <c r="F222" s="11"/>
      <c r="G222" s="10" t="s">
        <v>1053</v>
      </c>
      <c r="H222" s="12" t="s">
        <v>309</v>
      </c>
    </row>
    <row r="223" spans="1:8" ht="16.7" customHeight="1" x14ac:dyDescent="0.25">
      <c r="A223" s="9" t="s">
        <v>1054</v>
      </c>
      <c r="B223" s="10" t="s">
        <v>1055</v>
      </c>
      <c r="C223" s="11" t="s">
        <v>1052</v>
      </c>
      <c r="D223" s="11" t="s">
        <v>291</v>
      </c>
      <c r="E223" s="11" t="s">
        <v>303</v>
      </c>
      <c r="F223" s="11"/>
      <c r="G223" s="10" t="s">
        <v>1056</v>
      </c>
      <c r="H223" s="12" t="s">
        <v>309</v>
      </c>
    </row>
    <row r="224" spans="1:8" ht="16.7" customHeight="1" x14ac:dyDescent="0.25">
      <c r="A224" s="9" t="s">
        <v>1057</v>
      </c>
      <c r="B224" s="10" t="s">
        <v>1058</v>
      </c>
      <c r="C224" s="11" t="s">
        <v>1052</v>
      </c>
      <c r="D224" s="11" t="s">
        <v>291</v>
      </c>
      <c r="E224" s="11" t="s">
        <v>303</v>
      </c>
      <c r="F224" s="11"/>
      <c r="G224" s="10" t="s">
        <v>1059</v>
      </c>
      <c r="H224" s="12" t="s">
        <v>309</v>
      </c>
    </row>
    <row r="225" spans="1:8" ht="16.7" customHeight="1" x14ac:dyDescent="0.25">
      <c r="A225" s="9" t="s">
        <v>1060</v>
      </c>
      <c r="B225" s="10" t="s">
        <v>1061</v>
      </c>
      <c r="C225" s="11" t="s">
        <v>1062</v>
      </c>
      <c r="D225" s="11" t="s">
        <v>271</v>
      </c>
      <c r="E225" s="11" t="s">
        <v>401</v>
      </c>
      <c r="F225" s="11"/>
      <c r="G225" s="10"/>
      <c r="H225" s="13" t="s">
        <v>402</v>
      </c>
    </row>
    <row r="226" spans="1:8" ht="16.7" customHeight="1" x14ac:dyDescent="0.25">
      <c r="A226" s="9" t="s">
        <v>1063</v>
      </c>
      <c r="B226" s="10" t="s">
        <v>1064</v>
      </c>
      <c r="C226" s="11" t="s">
        <v>1065</v>
      </c>
      <c r="D226" s="11" t="s">
        <v>271</v>
      </c>
      <c r="E226" s="11" t="s">
        <v>401</v>
      </c>
      <c r="F226" s="11"/>
      <c r="G226" s="10"/>
      <c r="H226" s="13" t="s">
        <v>402</v>
      </c>
    </row>
    <row r="227" spans="1:8" ht="16.7" customHeight="1" x14ac:dyDescent="0.25">
      <c r="A227" s="9" t="s">
        <v>1066</v>
      </c>
      <c r="B227" s="10" t="s">
        <v>1067</v>
      </c>
      <c r="C227" s="11" t="s">
        <v>1068</v>
      </c>
      <c r="D227" s="11" t="s">
        <v>271</v>
      </c>
      <c r="E227" s="11" t="s">
        <v>401</v>
      </c>
      <c r="F227" s="11"/>
      <c r="G227" s="10"/>
      <c r="H227" s="13" t="s">
        <v>402</v>
      </c>
    </row>
    <row r="228" spans="1:8" ht="16.7" customHeight="1" x14ac:dyDescent="0.25">
      <c r="A228" s="9" t="s">
        <v>1069</v>
      </c>
      <c r="B228" s="10" t="s">
        <v>1070</v>
      </c>
      <c r="C228" s="11" t="s">
        <v>1071</v>
      </c>
      <c r="D228" s="11" t="s">
        <v>271</v>
      </c>
      <c r="E228" s="11" t="s">
        <v>303</v>
      </c>
      <c r="F228" s="11"/>
      <c r="G228" s="10" t="s">
        <v>1072</v>
      </c>
      <c r="H228" s="12" t="s">
        <v>309</v>
      </c>
    </row>
    <row r="229" spans="1:8" ht="16.7" customHeight="1" x14ac:dyDescent="0.25">
      <c r="A229" s="9" t="s">
        <v>1073</v>
      </c>
      <c r="B229" s="10" t="s">
        <v>1074</v>
      </c>
      <c r="C229" s="11" t="s">
        <v>1071</v>
      </c>
      <c r="D229" s="11" t="s">
        <v>1075</v>
      </c>
      <c r="E229" s="11" t="s">
        <v>864</v>
      </c>
      <c r="F229" s="11"/>
      <c r="G229" s="10"/>
      <c r="H229" s="14" t="s">
        <v>1076</v>
      </c>
    </row>
    <row r="230" spans="1:8" ht="16.7" customHeight="1" x14ac:dyDescent="0.25">
      <c r="A230" s="9" t="s">
        <v>1077</v>
      </c>
      <c r="B230" s="10" t="s">
        <v>1078</v>
      </c>
      <c r="C230" s="11" t="s">
        <v>1071</v>
      </c>
      <c r="D230" s="11" t="s">
        <v>1075</v>
      </c>
      <c r="E230" s="11" t="s">
        <v>864</v>
      </c>
      <c r="F230" s="11"/>
      <c r="G230" s="10"/>
      <c r="H230" s="14" t="s">
        <v>1076</v>
      </c>
    </row>
    <row r="231" spans="1:8" ht="16.7" customHeight="1" x14ac:dyDescent="0.25">
      <c r="A231" s="9" t="s">
        <v>1079</v>
      </c>
      <c r="B231" s="10" t="s">
        <v>1080</v>
      </c>
      <c r="C231" s="11" t="s">
        <v>1071</v>
      </c>
      <c r="D231" s="11" t="s">
        <v>1075</v>
      </c>
      <c r="E231" s="11" t="s">
        <v>864</v>
      </c>
      <c r="F231" s="11"/>
      <c r="G231" s="10"/>
      <c r="H231" s="14" t="s">
        <v>1076</v>
      </c>
    </row>
    <row r="232" spans="1:8" ht="16.7" customHeight="1" x14ac:dyDescent="0.25">
      <c r="A232" s="9" t="s">
        <v>1081</v>
      </c>
      <c r="B232" s="10" t="s">
        <v>1082</v>
      </c>
      <c r="C232" s="11" t="s">
        <v>1071</v>
      </c>
      <c r="D232" s="11" t="s">
        <v>274</v>
      </c>
      <c r="E232" s="11" t="s">
        <v>303</v>
      </c>
      <c r="F232" s="11"/>
      <c r="G232" s="10" t="s">
        <v>1083</v>
      </c>
      <c r="H232" s="12" t="s">
        <v>309</v>
      </c>
    </row>
    <row r="233" spans="1:8" ht="16.7" customHeight="1" x14ac:dyDescent="0.25">
      <c r="A233" s="9" t="s">
        <v>1084</v>
      </c>
      <c r="B233" s="10" t="s">
        <v>1085</v>
      </c>
      <c r="C233" s="11" t="s">
        <v>1086</v>
      </c>
      <c r="D233" s="11" t="s">
        <v>271</v>
      </c>
      <c r="E233" s="11" t="s">
        <v>303</v>
      </c>
      <c r="F233" s="11"/>
      <c r="G233" s="10" t="s">
        <v>1087</v>
      </c>
      <c r="H233" s="12" t="s">
        <v>309</v>
      </c>
    </row>
    <row r="234" spans="1:8" ht="16.7" customHeight="1" x14ac:dyDescent="0.25">
      <c r="A234" s="9" t="s">
        <v>1088</v>
      </c>
      <c r="B234" s="10" t="s">
        <v>1089</v>
      </c>
      <c r="C234" s="11" t="s">
        <v>1086</v>
      </c>
      <c r="D234" s="11" t="s">
        <v>271</v>
      </c>
      <c r="E234" s="11" t="s">
        <v>303</v>
      </c>
      <c r="F234" s="11" t="s">
        <v>1090</v>
      </c>
      <c r="G234" s="10" t="s">
        <v>1091</v>
      </c>
      <c r="H234" s="12" t="s">
        <v>309</v>
      </c>
    </row>
    <row r="235" spans="1:8" ht="16.7" customHeight="1" x14ac:dyDescent="0.25">
      <c r="A235" s="9" t="s">
        <v>1092</v>
      </c>
      <c r="B235" s="10" t="s">
        <v>1093</v>
      </c>
      <c r="C235" s="11" t="s">
        <v>1086</v>
      </c>
      <c r="D235" s="11" t="s">
        <v>271</v>
      </c>
      <c r="E235" s="11" t="s">
        <v>303</v>
      </c>
      <c r="F235" s="11"/>
      <c r="G235" s="10" t="s">
        <v>1094</v>
      </c>
      <c r="H235" s="12" t="s">
        <v>309</v>
      </c>
    </row>
    <row r="236" spans="1:8" ht="16.7" customHeight="1" x14ac:dyDescent="0.25">
      <c r="A236" s="9" t="s">
        <v>1095</v>
      </c>
      <c r="B236" s="10" t="s">
        <v>1096</v>
      </c>
      <c r="C236" s="11" t="s">
        <v>1086</v>
      </c>
      <c r="D236" s="11" t="s">
        <v>271</v>
      </c>
      <c r="E236" s="11" t="s">
        <v>303</v>
      </c>
      <c r="F236" s="11"/>
      <c r="G236" s="10" t="s">
        <v>1097</v>
      </c>
      <c r="H236" s="12" t="s">
        <v>309</v>
      </c>
    </row>
    <row r="237" spans="1:8" ht="16.7" customHeight="1" x14ac:dyDescent="0.25">
      <c r="A237" s="9" t="s">
        <v>1098</v>
      </c>
      <c r="B237" s="10" t="s">
        <v>1099</v>
      </c>
      <c r="C237" s="11" t="s">
        <v>1086</v>
      </c>
      <c r="D237" s="11" t="s">
        <v>271</v>
      </c>
      <c r="E237" s="11" t="s">
        <v>303</v>
      </c>
      <c r="F237" s="11"/>
      <c r="G237" s="10" t="s">
        <v>1100</v>
      </c>
      <c r="H237" s="12" t="s">
        <v>309</v>
      </c>
    </row>
    <row r="238" spans="1:8" ht="16.7" customHeight="1" x14ac:dyDescent="0.25">
      <c r="A238" s="9" t="s">
        <v>1101</v>
      </c>
      <c r="B238" s="10" t="s">
        <v>1102</v>
      </c>
      <c r="C238" s="11" t="s">
        <v>1086</v>
      </c>
      <c r="D238" s="11" t="s">
        <v>271</v>
      </c>
      <c r="E238" s="11" t="s">
        <v>303</v>
      </c>
      <c r="F238" s="11"/>
      <c r="G238" s="10" t="s">
        <v>1103</v>
      </c>
      <c r="H238" s="12" t="s">
        <v>309</v>
      </c>
    </row>
    <row r="239" spans="1:8" ht="16.7" customHeight="1" x14ac:dyDescent="0.25">
      <c r="A239" s="9" t="s">
        <v>1104</v>
      </c>
      <c r="B239" s="10" t="s">
        <v>1105</v>
      </c>
      <c r="C239" s="11" t="s">
        <v>1106</v>
      </c>
      <c r="D239" s="11" t="s">
        <v>271</v>
      </c>
      <c r="E239" s="11" t="s">
        <v>303</v>
      </c>
      <c r="F239" s="11" t="s">
        <v>1021</v>
      </c>
      <c r="G239" s="10" t="s">
        <v>1107</v>
      </c>
      <c r="H239" s="12" t="s">
        <v>309</v>
      </c>
    </row>
    <row r="240" spans="1:8" ht="16.7" customHeight="1" x14ac:dyDescent="0.25">
      <c r="A240" s="9" t="s">
        <v>1108</v>
      </c>
      <c r="B240" s="10" t="s">
        <v>1109</v>
      </c>
      <c r="C240" s="11" t="s">
        <v>1106</v>
      </c>
      <c r="D240" s="11" t="s">
        <v>271</v>
      </c>
      <c r="E240" s="11" t="s">
        <v>303</v>
      </c>
      <c r="F240" s="11"/>
      <c r="G240" s="10" t="s">
        <v>1110</v>
      </c>
      <c r="H240" s="12" t="s">
        <v>309</v>
      </c>
    </row>
    <row r="241" spans="1:8" ht="16.7" customHeight="1" x14ac:dyDescent="0.25">
      <c r="A241" s="9" t="s">
        <v>1111</v>
      </c>
      <c r="B241" s="10" t="s">
        <v>1112</v>
      </c>
      <c r="C241" s="11"/>
      <c r="D241" s="11" t="s">
        <v>289</v>
      </c>
      <c r="E241" s="11" t="s">
        <v>303</v>
      </c>
      <c r="F241" s="11"/>
      <c r="G241" s="10" t="s">
        <v>215</v>
      </c>
      <c r="H241" s="12" t="s">
        <v>309</v>
      </c>
    </row>
    <row r="242" spans="1:8" ht="16.7" customHeight="1" x14ac:dyDescent="0.25">
      <c r="A242" s="9" t="s">
        <v>1113</v>
      </c>
      <c r="B242" s="10" t="s">
        <v>1114</v>
      </c>
      <c r="C242" s="11"/>
      <c r="D242" s="11" t="s">
        <v>289</v>
      </c>
      <c r="E242" s="11" t="s">
        <v>303</v>
      </c>
      <c r="F242" s="11"/>
      <c r="G242" s="10" t="s">
        <v>222</v>
      </c>
      <c r="H242" s="12" t="s">
        <v>309</v>
      </c>
    </row>
    <row r="243" spans="1:8" ht="16.7" customHeight="1" x14ac:dyDescent="0.25">
      <c r="A243" s="9" t="s">
        <v>1115</v>
      </c>
      <c r="B243" s="10" t="s">
        <v>1116</v>
      </c>
      <c r="C243" s="11"/>
      <c r="D243" s="11" t="s">
        <v>289</v>
      </c>
      <c r="E243" s="11" t="s">
        <v>303</v>
      </c>
      <c r="F243" s="11"/>
      <c r="G243" s="10" t="s">
        <v>229</v>
      </c>
      <c r="H243" s="12" t="s">
        <v>309</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7"/>
  <sheetViews>
    <sheetView workbookViewId="0">
      <pane ySplit="1" topLeftCell="A47" activePane="bottomLeft" state="frozen"/>
      <selection pane="bottomLeft" activeCell="I57" sqref="I57"/>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1117</v>
      </c>
      <c r="B2" s="26"/>
      <c r="C2" s="26"/>
      <c r="D2" s="26"/>
      <c r="E2" s="26"/>
      <c r="F2" s="26"/>
      <c r="G2" s="26"/>
      <c r="H2" s="26"/>
      <c r="I2" s="26"/>
    </row>
    <row r="3" spans="1:9" ht="54.4" customHeight="1" x14ac:dyDescent="0.25">
      <c r="A3" s="15" t="s">
        <v>1118</v>
      </c>
      <c r="B3" s="16" t="s">
        <v>1119</v>
      </c>
      <c r="C3" s="16" t="s">
        <v>1120</v>
      </c>
      <c r="D3" s="16" t="s">
        <v>1121</v>
      </c>
      <c r="E3" s="16" t="s">
        <v>1122</v>
      </c>
      <c r="F3" s="17" t="s">
        <v>15</v>
      </c>
      <c r="G3" s="17" t="s">
        <v>1123</v>
      </c>
      <c r="H3" s="17"/>
      <c r="I3" s="16" t="s">
        <v>1124</v>
      </c>
    </row>
    <row r="4" spans="1:9" ht="41.85" customHeight="1" x14ac:dyDescent="0.25">
      <c r="A4" s="18" t="s">
        <v>1125</v>
      </c>
      <c r="B4" s="19" t="s">
        <v>1119</v>
      </c>
      <c r="C4" s="19" t="s">
        <v>1126</v>
      </c>
      <c r="D4" s="19" t="s">
        <v>1127</v>
      </c>
      <c r="E4" s="19" t="s">
        <v>1128</v>
      </c>
      <c r="F4" s="17" t="s">
        <v>15</v>
      </c>
      <c r="G4" s="17" t="s">
        <v>1123</v>
      </c>
      <c r="H4" s="17"/>
      <c r="I4" s="19"/>
    </row>
    <row r="5" spans="1:9" ht="18" customHeight="1" x14ac:dyDescent="0.25">
      <c r="A5" s="25" t="s">
        <v>1129</v>
      </c>
      <c r="B5" s="26"/>
      <c r="C5" s="26"/>
      <c r="D5" s="26"/>
      <c r="E5" s="26"/>
      <c r="F5" s="26"/>
      <c r="G5" s="26"/>
      <c r="H5" s="26"/>
      <c r="I5" s="26"/>
    </row>
    <row r="6" spans="1:9" ht="41.85" customHeight="1" x14ac:dyDescent="0.25">
      <c r="A6" s="15" t="s">
        <v>308</v>
      </c>
      <c r="B6" s="16" t="s">
        <v>1130</v>
      </c>
      <c r="C6" s="16" t="s">
        <v>1131</v>
      </c>
      <c r="D6" s="16" t="s">
        <v>1132</v>
      </c>
      <c r="E6" s="16" t="s">
        <v>1133</v>
      </c>
      <c r="F6" s="17" t="s">
        <v>15</v>
      </c>
      <c r="G6" s="17" t="s">
        <v>1123</v>
      </c>
      <c r="H6" s="17"/>
      <c r="I6" s="16" t="s">
        <v>1124</v>
      </c>
    </row>
    <row r="7" spans="1:9" ht="18" customHeight="1" x14ac:dyDescent="0.25">
      <c r="A7" s="25" t="s">
        <v>1134</v>
      </c>
      <c r="B7" s="26"/>
      <c r="C7" s="26"/>
      <c r="D7" s="26"/>
      <c r="E7" s="26"/>
      <c r="F7" s="26"/>
      <c r="G7" s="26"/>
      <c r="H7" s="26"/>
      <c r="I7" s="26"/>
    </row>
    <row r="8" spans="1:9" ht="54.4" customHeight="1" x14ac:dyDescent="0.25">
      <c r="A8" s="15" t="s">
        <v>312</v>
      </c>
      <c r="B8" s="16" t="s">
        <v>1135</v>
      </c>
      <c r="C8" s="16" t="s">
        <v>1136</v>
      </c>
      <c r="D8" s="16" t="s">
        <v>1137</v>
      </c>
      <c r="E8" s="16" t="s">
        <v>1138</v>
      </c>
      <c r="F8" s="17"/>
      <c r="G8" s="17"/>
      <c r="H8" s="17"/>
      <c r="I8" s="16" t="s">
        <v>1139</v>
      </c>
    </row>
    <row r="9" spans="1:9" ht="18" customHeight="1" x14ac:dyDescent="0.25">
      <c r="A9" s="25" t="s">
        <v>1140</v>
      </c>
      <c r="B9" s="26"/>
      <c r="C9" s="26"/>
      <c r="D9" s="26"/>
      <c r="E9" s="26"/>
      <c r="F9" s="26"/>
      <c r="G9" s="26"/>
      <c r="H9" s="26"/>
      <c r="I9" s="26"/>
    </row>
    <row r="10" spans="1:9" ht="54.4" customHeight="1" x14ac:dyDescent="0.25">
      <c r="A10" s="15" t="s">
        <v>315</v>
      </c>
      <c r="B10" s="16" t="s">
        <v>1141</v>
      </c>
      <c r="C10" s="16" t="s">
        <v>1142</v>
      </c>
      <c r="D10" s="16" t="s">
        <v>1143</v>
      </c>
      <c r="E10" s="16" t="s">
        <v>1144</v>
      </c>
      <c r="F10" s="17"/>
      <c r="G10" s="17"/>
      <c r="H10" s="17"/>
      <c r="I10" s="16" t="s">
        <v>1145</v>
      </c>
    </row>
    <row r="11" spans="1:9" ht="18" customHeight="1" x14ac:dyDescent="0.25">
      <c r="A11" s="25" t="s">
        <v>1146</v>
      </c>
      <c r="B11" s="26"/>
      <c r="C11" s="26"/>
      <c r="D11" s="26"/>
      <c r="E11" s="26"/>
      <c r="F11" s="26"/>
      <c r="G11" s="26"/>
      <c r="H11" s="26"/>
      <c r="I11" s="26"/>
    </row>
    <row r="12" spans="1:9" ht="54.4" customHeight="1" x14ac:dyDescent="0.25">
      <c r="A12" s="15" t="s">
        <v>320</v>
      </c>
      <c r="B12" s="16" t="s">
        <v>1147</v>
      </c>
      <c r="C12" s="16" t="s">
        <v>1148</v>
      </c>
      <c r="D12" s="16" t="s">
        <v>1149</v>
      </c>
      <c r="E12" s="16" t="s">
        <v>1150</v>
      </c>
      <c r="F12" s="17"/>
      <c r="G12" s="17"/>
      <c r="H12" s="17"/>
      <c r="I12" s="16" t="s">
        <v>1151</v>
      </c>
    </row>
    <row r="13" spans="1:9" ht="18" customHeight="1" x14ac:dyDescent="0.25">
      <c r="A13" s="25" t="s">
        <v>1152</v>
      </c>
      <c r="B13" s="26"/>
      <c r="C13" s="26"/>
      <c r="D13" s="26"/>
      <c r="E13" s="26"/>
      <c r="F13" s="26"/>
      <c r="G13" s="26"/>
      <c r="H13" s="26"/>
      <c r="I13" s="26"/>
    </row>
    <row r="14" spans="1:9" ht="41.85" customHeight="1" x14ac:dyDescent="0.25">
      <c r="A14" s="15" t="s">
        <v>324</v>
      </c>
      <c r="B14" s="16" t="s">
        <v>1153</v>
      </c>
      <c r="C14" s="16" t="s">
        <v>1154</v>
      </c>
      <c r="D14" s="16" t="s">
        <v>1155</v>
      </c>
      <c r="E14" s="16" t="s">
        <v>1156</v>
      </c>
      <c r="F14" s="17" t="s">
        <v>15</v>
      </c>
      <c r="G14" s="17" t="s">
        <v>16</v>
      </c>
      <c r="H14" s="17"/>
      <c r="I14" s="16" t="s">
        <v>1157</v>
      </c>
    </row>
    <row r="15" spans="1:9" ht="18" customHeight="1" x14ac:dyDescent="0.25">
      <c r="A15" s="25" t="s">
        <v>1158</v>
      </c>
      <c r="B15" s="26"/>
      <c r="C15" s="26"/>
      <c r="D15" s="26"/>
      <c r="E15" s="26"/>
      <c r="F15" s="26"/>
      <c r="G15" s="26"/>
      <c r="H15" s="26"/>
      <c r="I15" s="26"/>
    </row>
    <row r="16" spans="1:9" ht="54.4" customHeight="1" x14ac:dyDescent="0.25">
      <c r="A16" s="15" t="s">
        <v>335</v>
      </c>
      <c r="B16" s="16" t="s">
        <v>1159</v>
      </c>
      <c r="C16" s="16" t="s">
        <v>1160</v>
      </c>
      <c r="D16" s="16" t="s">
        <v>1161</v>
      </c>
      <c r="E16" s="16" t="s">
        <v>1162</v>
      </c>
      <c r="F16" s="17" t="s">
        <v>15</v>
      </c>
      <c r="G16" s="17" t="s">
        <v>1123</v>
      </c>
      <c r="H16" s="17"/>
      <c r="I16" s="16" t="s">
        <v>1163</v>
      </c>
    </row>
    <row r="17" spans="1:9" ht="18" customHeight="1" x14ac:dyDescent="0.25">
      <c r="A17" s="25" t="s">
        <v>1164</v>
      </c>
      <c r="B17" s="26"/>
      <c r="C17" s="26"/>
      <c r="D17" s="26"/>
      <c r="E17" s="26"/>
      <c r="F17" s="26"/>
      <c r="G17" s="26"/>
      <c r="H17" s="26"/>
      <c r="I17" s="26"/>
    </row>
    <row r="18" spans="1:9" ht="54.4" customHeight="1" x14ac:dyDescent="0.25">
      <c r="A18" s="15" t="s">
        <v>338</v>
      </c>
      <c r="B18" s="16" t="s">
        <v>1165</v>
      </c>
      <c r="C18" s="16" t="s">
        <v>1166</v>
      </c>
      <c r="D18" s="16" t="s">
        <v>1167</v>
      </c>
      <c r="E18" s="16" t="s">
        <v>1168</v>
      </c>
      <c r="F18" s="17" t="s">
        <v>15</v>
      </c>
      <c r="G18" s="17" t="s">
        <v>1123</v>
      </c>
      <c r="H18" s="17"/>
      <c r="I18" s="16" t="s">
        <v>1124</v>
      </c>
    </row>
    <row r="19" spans="1:9" ht="41.85" customHeight="1" x14ac:dyDescent="0.25">
      <c r="A19" s="25" t="s">
        <v>1169</v>
      </c>
      <c r="B19" s="26"/>
      <c r="C19" s="26"/>
      <c r="D19" s="26"/>
      <c r="E19" s="26"/>
      <c r="F19" s="26"/>
      <c r="G19" s="26"/>
      <c r="H19" s="26"/>
      <c r="I19" s="26"/>
    </row>
    <row r="20" spans="1:9" ht="18" customHeight="1" x14ac:dyDescent="0.25">
      <c r="A20" s="15" t="s">
        <v>1170</v>
      </c>
      <c r="B20" s="16" t="s">
        <v>340</v>
      </c>
      <c r="C20" s="16" t="s">
        <v>1171</v>
      </c>
      <c r="D20" s="16" t="s">
        <v>1172</v>
      </c>
      <c r="E20" s="16" t="s">
        <v>1173</v>
      </c>
      <c r="F20" s="17" t="s">
        <v>15</v>
      </c>
      <c r="G20" s="17" t="s">
        <v>1123</v>
      </c>
      <c r="H20" s="17"/>
      <c r="I20" s="16"/>
    </row>
    <row r="21" spans="1:9" ht="66.95" customHeight="1" x14ac:dyDescent="0.25">
      <c r="A21" s="18" t="s">
        <v>1174</v>
      </c>
      <c r="B21" s="19" t="s">
        <v>340</v>
      </c>
      <c r="C21" s="19" t="s">
        <v>1175</v>
      </c>
      <c r="D21" s="19" t="s">
        <v>1176</v>
      </c>
      <c r="E21" s="19" t="s">
        <v>1177</v>
      </c>
      <c r="F21" s="17" t="s">
        <v>15</v>
      </c>
      <c r="G21" s="17" t="s">
        <v>1123</v>
      </c>
      <c r="H21" s="17"/>
      <c r="I21" s="19" t="s">
        <v>1178</v>
      </c>
    </row>
    <row r="22" spans="1:9" ht="18" customHeight="1" x14ac:dyDescent="0.25">
      <c r="A22" s="25" t="s">
        <v>1179</v>
      </c>
      <c r="B22" s="26"/>
      <c r="C22" s="26"/>
      <c r="D22" s="26"/>
      <c r="E22" s="26"/>
      <c r="F22" s="26"/>
      <c r="G22" s="26"/>
      <c r="H22" s="26"/>
      <c r="I22" s="26"/>
    </row>
    <row r="23" spans="1:9" ht="41.85" customHeight="1" x14ac:dyDescent="0.25">
      <c r="A23" s="15" t="s">
        <v>346</v>
      </c>
      <c r="B23" s="16" t="s">
        <v>345</v>
      </c>
      <c r="C23" s="16" t="s">
        <v>1180</v>
      </c>
      <c r="D23" s="16" t="s">
        <v>1181</v>
      </c>
      <c r="E23" s="16" t="s">
        <v>1182</v>
      </c>
      <c r="F23" s="17" t="s">
        <v>15</v>
      </c>
      <c r="G23" s="17" t="s">
        <v>1123</v>
      </c>
      <c r="H23" s="17"/>
      <c r="I23" s="16"/>
    </row>
    <row r="24" spans="1:9" ht="18" customHeight="1" x14ac:dyDescent="0.25">
      <c r="A24" s="25" t="s">
        <v>1183</v>
      </c>
      <c r="B24" s="26"/>
      <c r="C24" s="26"/>
      <c r="D24" s="26"/>
      <c r="E24" s="26"/>
      <c r="F24" s="26"/>
      <c r="G24" s="26"/>
      <c r="H24" s="26"/>
      <c r="I24" s="26"/>
    </row>
    <row r="25" spans="1:9" ht="41.85" customHeight="1" x14ac:dyDescent="0.25">
      <c r="A25" s="15" t="s">
        <v>349</v>
      </c>
      <c r="B25" s="16" t="s">
        <v>1184</v>
      </c>
      <c r="C25" s="16" t="s">
        <v>1185</v>
      </c>
      <c r="D25" s="16" t="s">
        <v>1186</v>
      </c>
      <c r="E25" s="16" t="s">
        <v>1187</v>
      </c>
      <c r="F25" s="17" t="s">
        <v>15</v>
      </c>
      <c r="G25" s="17" t="s">
        <v>1123</v>
      </c>
      <c r="H25" s="17"/>
      <c r="I25" s="16"/>
    </row>
    <row r="26" spans="1:9" ht="54.4" customHeight="1" x14ac:dyDescent="0.25">
      <c r="A26" s="25" t="s">
        <v>1188</v>
      </c>
      <c r="B26" s="26"/>
      <c r="C26" s="26"/>
      <c r="D26" s="26"/>
      <c r="E26" s="26"/>
      <c r="F26" s="26"/>
      <c r="G26" s="26"/>
      <c r="H26" s="26"/>
      <c r="I26" s="26"/>
    </row>
    <row r="27" spans="1:9" ht="18" customHeight="1" x14ac:dyDescent="0.25">
      <c r="A27" s="15" t="s">
        <v>1189</v>
      </c>
      <c r="B27" s="16" t="s">
        <v>1190</v>
      </c>
      <c r="C27" s="16" t="s">
        <v>1191</v>
      </c>
      <c r="D27" s="16" t="s">
        <v>1192</v>
      </c>
      <c r="E27" s="16" t="s">
        <v>1193</v>
      </c>
      <c r="F27" s="17" t="s">
        <v>15</v>
      </c>
      <c r="G27" s="17" t="s">
        <v>16</v>
      </c>
      <c r="H27" s="17" t="s">
        <v>123</v>
      </c>
      <c r="I27" s="16" t="s">
        <v>1194</v>
      </c>
    </row>
    <row r="28" spans="1:9" ht="41.85" customHeight="1" x14ac:dyDescent="0.25">
      <c r="A28" s="18" t="s">
        <v>1195</v>
      </c>
      <c r="B28" s="19" t="s">
        <v>1190</v>
      </c>
      <c r="C28" s="19" t="s">
        <v>1196</v>
      </c>
      <c r="D28" s="19" t="s">
        <v>1197</v>
      </c>
      <c r="E28" s="19" t="s">
        <v>1198</v>
      </c>
      <c r="F28" s="17"/>
      <c r="G28" s="17"/>
      <c r="H28" s="17"/>
      <c r="I28" s="19" t="s">
        <v>1199</v>
      </c>
    </row>
    <row r="29" spans="1:9" ht="18" customHeight="1" x14ac:dyDescent="0.25">
      <c r="A29" s="25" t="s">
        <v>1200</v>
      </c>
      <c r="B29" s="26"/>
      <c r="C29" s="26"/>
      <c r="D29" s="26"/>
      <c r="E29" s="26"/>
      <c r="F29" s="26"/>
      <c r="G29" s="26"/>
      <c r="H29" s="26"/>
      <c r="I29" s="26"/>
    </row>
    <row r="30" spans="1:9" ht="54.4" customHeight="1" x14ac:dyDescent="0.25">
      <c r="A30" s="22" t="s">
        <v>1201</v>
      </c>
    </row>
    <row r="31" spans="1:9" ht="18" customHeight="1" x14ac:dyDescent="0.25">
      <c r="A31" s="25" t="s">
        <v>1202</v>
      </c>
      <c r="B31" s="26"/>
      <c r="C31" s="26"/>
      <c r="D31" s="26"/>
      <c r="E31" s="26"/>
      <c r="F31" s="26"/>
      <c r="G31" s="26"/>
      <c r="H31" s="26"/>
      <c r="I31" s="26"/>
    </row>
    <row r="32" spans="1:9" ht="66.95" customHeight="1" x14ac:dyDescent="0.25">
      <c r="A32" s="22" t="s">
        <v>1201</v>
      </c>
    </row>
    <row r="33" spans="1:9" ht="54.4" customHeight="1" x14ac:dyDescent="0.25">
      <c r="A33" s="25" t="s">
        <v>1203</v>
      </c>
      <c r="B33" s="26"/>
      <c r="C33" s="26"/>
      <c r="D33" s="26"/>
      <c r="E33" s="26"/>
      <c r="F33" s="26"/>
      <c r="G33" s="26"/>
      <c r="H33" s="26"/>
      <c r="I33" s="26"/>
    </row>
    <row r="34" spans="1:9" ht="18" customHeight="1" x14ac:dyDescent="0.25">
      <c r="A34" s="22" t="s">
        <v>1201</v>
      </c>
    </row>
    <row r="35" spans="1:9" ht="15" customHeight="1" x14ac:dyDescent="0.25">
      <c r="A35" s="25" t="s">
        <v>1204</v>
      </c>
      <c r="B35" s="26"/>
      <c r="C35" s="26"/>
      <c r="D35" s="26"/>
      <c r="E35" s="26"/>
      <c r="F35" s="26"/>
      <c r="G35" s="26"/>
      <c r="H35" s="26"/>
      <c r="I35" s="26"/>
    </row>
    <row r="36" spans="1:9" ht="18" customHeight="1" x14ac:dyDescent="0.25">
      <c r="A36" s="15" t="s">
        <v>1072</v>
      </c>
      <c r="B36" s="16" t="s">
        <v>1205</v>
      </c>
      <c r="C36" s="16" t="s">
        <v>1206</v>
      </c>
      <c r="D36" s="16" t="s">
        <v>1207</v>
      </c>
      <c r="E36" s="16" t="s">
        <v>1208</v>
      </c>
      <c r="F36" s="17" t="s">
        <v>15</v>
      </c>
      <c r="G36" s="17"/>
      <c r="H36" s="17"/>
      <c r="I36" s="16" t="s">
        <v>1209</v>
      </c>
    </row>
    <row r="37" spans="1:9" ht="15" customHeight="1" x14ac:dyDescent="0.25">
      <c r="A37" s="25" t="s">
        <v>1210</v>
      </c>
      <c r="B37" s="26"/>
      <c r="C37" s="26"/>
      <c r="D37" s="26"/>
      <c r="E37" s="26"/>
      <c r="F37" s="26"/>
      <c r="G37" s="26"/>
      <c r="H37" s="26"/>
      <c r="I37" s="26"/>
    </row>
    <row r="38" spans="1:9" ht="18" customHeight="1" x14ac:dyDescent="0.25">
      <c r="A38" s="15" t="s">
        <v>1091</v>
      </c>
      <c r="B38" s="16" t="s">
        <v>1211</v>
      </c>
      <c r="C38" s="16" t="s">
        <v>1212</v>
      </c>
      <c r="D38" s="16" t="s">
        <v>1213</v>
      </c>
      <c r="E38" s="16" t="s">
        <v>1214</v>
      </c>
      <c r="F38" s="17"/>
      <c r="G38" s="17"/>
      <c r="H38" s="17"/>
      <c r="I38" s="16" t="s">
        <v>1215</v>
      </c>
    </row>
    <row r="39" spans="1:9" ht="15" customHeight="1" x14ac:dyDescent="0.25">
      <c r="A39" s="25" t="s">
        <v>1216</v>
      </c>
      <c r="B39" s="26"/>
      <c r="C39" s="26"/>
      <c r="D39" s="26"/>
      <c r="E39" s="26"/>
      <c r="F39" s="26"/>
      <c r="G39" s="26"/>
      <c r="H39" s="26"/>
      <c r="I39" s="26"/>
    </row>
    <row r="40" spans="1:9" ht="18" customHeight="1" x14ac:dyDescent="0.25">
      <c r="A40" s="15" t="s">
        <v>1094</v>
      </c>
      <c r="B40" s="16" t="s">
        <v>1217</v>
      </c>
      <c r="C40" s="16" t="s">
        <v>1218</v>
      </c>
      <c r="D40" s="16" t="s">
        <v>1219</v>
      </c>
      <c r="E40" s="16" t="s">
        <v>1220</v>
      </c>
      <c r="F40" s="17"/>
      <c r="G40" s="17"/>
      <c r="H40" s="17"/>
      <c r="I40" s="16" t="s">
        <v>1221</v>
      </c>
    </row>
    <row r="41" spans="1:9" ht="66.95" customHeight="1" x14ac:dyDescent="0.25">
      <c r="A41" s="25" t="s">
        <v>1222</v>
      </c>
      <c r="B41" s="26"/>
      <c r="C41" s="26"/>
      <c r="D41" s="26"/>
      <c r="E41" s="26"/>
      <c r="F41" s="26"/>
      <c r="G41" s="26"/>
      <c r="H41" s="26"/>
      <c r="I41" s="26"/>
    </row>
    <row r="42" spans="1:9" ht="18" customHeight="1" x14ac:dyDescent="0.25">
      <c r="A42" s="15" t="s">
        <v>1097</v>
      </c>
      <c r="B42" s="16" t="s">
        <v>1223</v>
      </c>
      <c r="C42" s="16" t="s">
        <v>1224</v>
      </c>
      <c r="D42" s="16" t="s">
        <v>1225</v>
      </c>
      <c r="E42" s="16" t="s">
        <v>1226</v>
      </c>
      <c r="F42" s="17"/>
      <c r="G42" s="17"/>
      <c r="H42" s="17"/>
      <c r="I42" s="16" t="s">
        <v>1227</v>
      </c>
    </row>
    <row r="43" spans="1:9" ht="54.4" customHeight="1" x14ac:dyDescent="0.25">
      <c r="A43" s="25" t="s">
        <v>1228</v>
      </c>
      <c r="B43" s="26"/>
      <c r="C43" s="26"/>
      <c r="D43" s="26"/>
      <c r="E43" s="26"/>
      <c r="F43" s="26"/>
      <c r="G43" s="26"/>
      <c r="H43" s="26"/>
      <c r="I43" s="26"/>
    </row>
    <row r="44" spans="1:9" ht="18" customHeight="1" x14ac:dyDescent="0.25">
      <c r="A44" s="15" t="s">
        <v>1100</v>
      </c>
      <c r="B44" s="16" t="s">
        <v>1229</v>
      </c>
      <c r="C44" s="16" t="s">
        <v>1230</v>
      </c>
      <c r="D44" s="16" t="s">
        <v>1231</v>
      </c>
      <c r="E44" s="16" t="s">
        <v>1232</v>
      </c>
      <c r="F44" s="17"/>
      <c r="G44" s="17"/>
      <c r="H44" s="17"/>
      <c r="I44" s="16" t="s">
        <v>1233</v>
      </c>
    </row>
    <row r="45" spans="1:9" ht="54.4" customHeight="1" x14ac:dyDescent="0.25">
      <c r="A45" s="25" t="s">
        <v>1234</v>
      </c>
      <c r="B45" s="26"/>
      <c r="C45" s="26"/>
      <c r="D45" s="26"/>
      <c r="E45" s="26"/>
      <c r="F45" s="26"/>
      <c r="G45" s="26"/>
      <c r="H45" s="26"/>
      <c r="I45" s="26"/>
    </row>
    <row r="46" spans="1:9" ht="18" customHeight="1" x14ac:dyDescent="0.25">
      <c r="A46" s="15" t="s">
        <v>1103</v>
      </c>
      <c r="B46" s="16" t="s">
        <v>1235</v>
      </c>
      <c r="C46" s="16" t="s">
        <v>1236</v>
      </c>
      <c r="D46" s="16" t="s">
        <v>1237</v>
      </c>
      <c r="E46" s="16" t="s">
        <v>1238</v>
      </c>
      <c r="F46" s="17"/>
      <c r="G46" s="17"/>
      <c r="H46" s="17"/>
      <c r="I46" s="16" t="s">
        <v>1239</v>
      </c>
    </row>
    <row r="47" spans="1:9" ht="66.95" customHeight="1" x14ac:dyDescent="0.25">
      <c r="A47" s="25" t="s">
        <v>1240</v>
      </c>
      <c r="B47" s="26"/>
      <c r="C47" s="26"/>
      <c r="D47" s="26"/>
      <c r="E47" s="26"/>
      <c r="F47" s="26"/>
      <c r="G47" s="26"/>
      <c r="H47" s="26"/>
      <c r="I47" s="26"/>
    </row>
    <row r="48" spans="1:9" ht="18" customHeight="1" x14ac:dyDescent="0.25">
      <c r="A48" s="15" t="s">
        <v>1107</v>
      </c>
      <c r="B48" s="16" t="s">
        <v>1241</v>
      </c>
      <c r="C48" s="16" t="s">
        <v>1242</v>
      </c>
      <c r="D48" s="16" t="s">
        <v>1243</v>
      </c>
      <c r="E48" s="16" t="s">
        <v>1244</v>
      </c>
      <c r="F48" s="17"/>
      <c r="G48" s="17"/>
      <c r="H48" s="17"/>
      <c r="I48" s="16" t="s">
        <v>1245</v>
      </c>
    </row>
    <row r="49" spans="1:9" ht="54.4" customHeight="1" x14ac:dyDescent="0.25">
      <c r="A49" s="25" t="s">
        <v>1246</v>
      </c>
      <c r="B49" s="26"/>
      <c r="C49" s="26"/>
      <c r="D49" s="26"/>
      <c r="E49" s="26"/>
      <c r="F49" s="26"/>
      <c r="G49" s="26"/>
      <c r="H49" s="26"/>
      <c r="I49" s="26"/>
    </row>
    <row r="50" spans="1:9" ht="18" customHeight="1" x14ac:dyDescent="0.25">
      <c r="A50" s="15" t="s">
        <v>1110</v>
      </c>
      <c r="B50" s="16" t="s">
        <v>1247</v>
      </c>
      <c r="C50" s="16" t="s">
        <v>1248</v>
      </c>
      <c r="D50" s="16" t="s">
        <v>1249</v>
      </c>
      <c r="E50" s="16" t="s">
        <v>1250</v>
      </c>
      <c r="F50" s="17"/>
      <c r="G50" s="17"/>
      <c r="H50" s="17"/>
      <c r="I50" s="16" t="s">
        <v>1251</v>
      </c>
    </row>
    <row r="51" spans="1:9" ht="41.85" customHeight="1" x14ac:dyDescent="0.25"/>
    <row r="52" spans="1:9" ht="18" customHeight="1" x14ac:dyDescent="0.25"/>
    <row r="53" spans="1:9" ht="54.4" customHeight="1" x14ac:dyDescent="0.25"/>
    <row r="54" spans="1:9" ht="18" customHeight="1" x14ac:dyDescent="0.25"/>
    <row r="55" spans="1:9" ht="41.85" customHeight="1" x14ac:dyDescent="0.25"/>
    <row r="56" spans="1:9" ht="18" customHeight="1" x14ac:dyDescent="0.25"/>
    <row r="57" spans="1:9" ht="66.95" customHeight="1" x14ac:dyDescent="0.25"/>
  </sheetData>
  <mergeCells count="23">
    <mergeCell ref="A49:I49"/>
    <mergeCell ref="A11:I11"/>
    <mergeCell ref="A45:I45"/>
    <mergeCell ref="A47:I47"/>
    <mergeCell ref="A5:I5"/>
    <mergeCell ref="A17:I17"/>
    <mergeCell ref="A22:I22"/>
    <mergeCell ref="A35:I35"/>
    <mergeCell ref="A29:I29"/>
    <mergeCell ref="A43:I43"/>
    <mergeCell ref="A19:I19"/>
    <mergeCell ref="A13:I13"/>
    <mergeCell ref="A9:I9"/>
    <mergeCell ref="A31:I31"/>
    <mergeCell ref="A39:I39"/>
    <mergeCell ref="A24:I24"/>
    <mergeCell ref="A15:I15"/>
    <mergeCell ref="A7:I7"/>
    <mergeCell ref="A41:I41"/>
    <mergeCell ref="A37:I37"/>
    <mergeCell ref="A26:I26"/>
    <mergeCell ref="A2:I2"/>
    <mergeCell ref="A33:I33"/>
  </mergeCells>
  <dataValidations count="1">
    <dataValidation type="list" allowBlank="1" sqref="F3:F4 F6 F8 F10 F12 F14 F16 F18:F19 F21 F23 F25:F26 F28 F30 F32:F33 F41 F43 F45 F47 F49 F51 F53 F55 F57" xr:uid="{00000000-0002-0000-0200-000000000000}">
      <formula1>"Pass,Fail,N/A"</formula1>
    </dataValidation>
  </dataValidations>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5"/>
  <sheetViews>
    <sheetView workbookViewId="0">
      <pane ySplit="1" topLeftCell="A19" activePane="bottomLeft" state="frozen"/>
      <selection pane="bottomLeft" activeCell="J25" sqref="J25"/>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1252</v>
      </c>
      <c r="B2" s="26"/>
      <c r="C2" s="26"/>
      <c r="D2" s="26"/>
      <c r="E2" s="26"/>
      <c r="F2" s="26"/>
      <c r="G2" s="26"/>
      <c r="H2" s="26"/>
      <c r="I2" s="26"/>
    </row>
    <row r="3" spans="1:9" ht="41.85" customHeight="1" x14ac:dyDescent="0.25">
      <c r="A3" s="15" t="s">
        <v>1253</v>
      </c>
      <c r="B3" s="16" t="s">
        <v>1254</v>
      </c>
      <c r="C3" s="16" t="s">
        <v>1255</v>
      </c>
      <c r="D3" s="16" t="s">
        <v>1256</v>
      </c>
      <c r="E3" s="16" t="s">
        <v>1257</v>
      </c>
      <c r="F3" s="17" t="s">
        <v>15</v>
      </c>
      <c r="G3" s="17" t="s">
        <v>1123</v>
      </c>
      <c r="H3" s="17"/>
      <c r="I3" s="16"/>
    </row>
    <row r="4" spans="1:9" ht="41.85" customHeight="1" x14ac:dyDescent="0.25">
      <c r="A4" s="18" t="s">
        <v>1258</v>
      </c>
      <c r="B4" s="19" t="s">
        <v>1259</v>
      </c>
      <c r="C4" s="19" t="s">
        <v>1255</v>
      </c>
      <c r="D4" s="19" t="s">
        <v>1260</v>
      </c>
      <c r="E4" s="19" t="s">
        <v>1261</v>
      </c>
      <c r="F4" s="17" t="s">
        <v>15</v>
      </c>
      <c r="G4" s="17" t="s">
        <v>1123</v>
      </c>
      <c r="H4" s="17"/>
      <c r="I4" s="19"/>
    </row>
    <row r="5" spans="1:9" ht="18" customHeight="1" x14ac:dyDescent="0.25">
      <c r="A5" s="25" t="s">
        <v>1262</v>
      </c>
      <c r="B5" s="26"/>
      <c r="C5" s="26"/>
      <c r="D5" s="26"/>
      <c r="E5" s="26"/>
      <c r="F5" s="26"/>
      <c r="G5" s="26"/>
      <c r="H5" s="26"/>
      <c r="I5" s="26"/>
    </row>
    <row r="6" spans="1:9" ht="41.85" customHeight="1" x14ac:dyDescent="0.25">
      <c r="A6" s="15" t="s">
        <v>1263</v>
      </c>
      <c r="B6" s="16" t="s">
        <v>1264</v>
      </c>
      <c r="C6" s="16" t="s">
        <v>1265</v>
      </c>
      <c r="D6" s="16" t="s">
        <v>1266</v>
      </c>
      <c r="E6" s="16" t="s">
        <v>1267</v>
      </c>
      <c r="F6" s="17" t="s">
        <v>15</v>
      </c>
      <c r="G6" s="17" t="s">
        <v>1123</v>
      </c>
      <c r="H6" s="17"/>
      <c r="I6" s="16"/>
    </row>
    <row r="7" spans="1:9" ht="54.4" customHeight="1" x14ac:dyDescent="0.25">
      <c r="A7" s="18" t="s">
        <v>1268</v>
      </c>
      <c r="B7" s="19" t="s">
        <v>1269</v>
      </c>
      <c r="C7" s="19" t="s">
        <v>1270</v>
      </c>
      <c r="D7" s="19" t="s">
        <v>1271</v>
      </c>
      <c r="E7" s="19" t="s">
        <v>1272</v>
      </c>
      <c r="F7" s="17" t="s">
        <v>15</v>
      </c>
      <c r="G7" s="17" t="s">
        <v>1123</v>
      </c>
      <c r="H7" s="17"/>
      <c r="I7" s="19"/>
    </row>
    <row r="8" spans="1:9" ht="18" customHeight="1" x14ac:dyDescent="0.25">
      <c r="A8" s="25" t="s">
        <v>1273</v>
      </c>
      <c r="B8" s="26"/>
      <c r="C8" s="26"/>
      <c r="D8" s="26"/>
      <c r="E8" s="26"/>
      <c r="F8" s="26"/>
      <c r="G8" s="26"/>
      <c r="H8" s="26"/>
      <c r="I8" s="26"/>
    </row>
    <row r="9" spans="1:9" ht="66.95" customHeight="1" x14ac:dyDescent="0.25">
      <c r="A9" s="15" t="s">
        <v>363</v>
      </c>
      <c r="B9" s="16" t="s">
        <v>1274</v>
      </c>
      <c r="C9" s="16" t="s">
        <v>1255</v>
      </c>
      <c r="D9" s="16" t="s">
        <v>1275</v>
      </c>
      <c r="E9" s="16" t="s">
        <v>1276</v>
      </c>
      <c r="F9" s="17" t="s">
        <v>15</v>
      </c>
      <c r="G9" s="17" t="s">
        <v>1123</v>
      </c>
      <c r="H9" s="17"/>
      <c r="I9" s="16"/>
    </row>
    <row r="10" spans="1:9" ht="18" customHeight="1" x14ac:dyDescent="0.25">
      <c r="A10" s="25" t="s">
        <v>1277</v>
      </c>
      <c r="B10" s="26"/>
      <c r="C10" s="26"/>
      <c r="D10" s="26"/>
      <c r="E10" s="26"/>
      <c r="F10" s="26"/>
      <c r="G10" s="26"/>
      <c r="H10" s="26"/>
      <c r="I10" s="26"/>
    </row>
    <row r="11" spans="1:9" ht="66.95" customHeight="1" x14ac:dyDescent="0.25">
      <c r="A11" s="15" t="s">
        <v>1278</v>
      </c>
      <c r="B11" s="16" t="s">
        <v>1279</v>
      </c>
      <c r="C11" s="16" t="s">
        <v>1280</v>
      </c>
      <c r="D11" s="16" t="s">
        <v>1281</v>
      </c>
      <c r="E11" s="16" t="s">
        <v>1282</v>
      </c>
      <c r="F11" s="17" t="s">
        <v>15</v>
      </c>
      <c r="G11" s="17" t="s">
        <v>1123</v>
      </c>
      <c r="H11" s="17"/>
      <c r="I11" s="16" t="s">
        <v>1283</v>
      </c>
    </row>
    <row r="12" spans="1:9" ht="41.85" customHeight="1" x14ac:dyDescent="0.25">
      <c r="A12" s="18" t="s">
        <v>1284</v>
      </c>
      <c r="B12" s="19" t="s">
        <v>1285</v>
      </c>
      <c r="C12" s="19" t="s">
        <v>1286</v>
      </c>
      <c r="D12" s="19" t="s">
        <v>1287</v>
      </c>
      <c r="E12" s="19" t="s">
        <v>1288</v>
      </c>
      <c r="F12" s="17" t="s">
        <v>15</v>
      </c>
      <c r="G12" s="17" t="s">
        <v>1123</v>
      </c>
      <c r="H12" s="17"/>
      <c r="I12" s="19"/>
    </row>
    <row r="13" spans="1:9" ht="18" customHeight="1" x14ac:dyDescent="0.25">
      <c r="A13" s="25" t="s">
        <v>1289</v>
      </c>
      <c r="B13" s="26"/>
      <c r="C13" s="26"/>
      <c r="D13" s="26"/>
      <c r="E13" s="26"/>
      <c r="F13" s="26"/>
      <c r="G13" s="26"/>
      <c r="H13" s="26"/>
      <c r="I13" s="26"/>
    </row>
    <row r="14" spans="1:9" ht="66.95" customHeight="1" x14ac:dyDescent="0.25">
      <c r="A14" s="15" t="s">
        <v>370</v>
      </c>
      <c r="B14" s="16" t="s">
        <v>1290</v>
      </c>
      <c r="C14" s="16" t="s">
        <v>1291</v>
      </c>
      <c r="D14" s="16" t="s">
        <v>1292</v>
      </c>
      <c r="E14" s="16" t="s">
        <v>1293</v>
      </c>
      <c r="F14" s="17" t="s">
        <v>15</v>
      </c>
      <c r="G14" s="17" t="s">
        <v>1123</v>
      </c>
      <c r="H14" s="17"/>
      <c r="I14" s="16"/>
    </row>
    <row r="15" spans="1:9" ht="18" customHeight="1" x14ac:dyDescent="0.25">
      <c r="A15" s="25" t="s">
        <v>1294</v>
      </c>
      <c r="B15" s="26"/>
      <c r="C15" s="26"/>
      <c r="D15" s="26"/>
      <c r="E15" s="26"/>
      <c r="F15" s="26"/>
      <c r="G15" s="26"/>
      <c r="H15" s="26"/>
      <c r="I15" s="26"/>
    </row>
    <row r="16" spans="1:9" ht="54.4" customHeight="1" x14ac:dyDescent="0.25">
      <c r="A16" s="15" t="s">
        <v>373</v>
      </c>
      <c r="B16" s="16" t="s">
        <v>1295</v>
      </c>
      <c r="C16" s="16" t="s">
        <v>1296</v>
      </c>
      <c r="D16" s="16" t="s">
        <v>1297</v>
      </c>
      <c r="E16" s="16" t="s">
        <v>1298</v>
      </c>
      <c r="F16" s="17" t="s">
        <v>15</v>
      </c>
      <c r="G16" s="17" t="s">
        <v>1123</v>
      </c>
      <c r="H16" s="17"/>
      <c r="I16" s="16" t="s">
        <v>1299</v>
      </c>
    </row>
    <row r="17" spans="1:9" ht="18" customHeight="1" x14ac:dyDescent="0.25">
      <c r="A17" s="25" t="s">
        <v>1300</v>
      </c>
      <c r="B17" s="26"/>
      <c r="C17" s="26"/>
      <c r="D17" s="26"/>
      <c r="E17" s="26"/>
      <c r="F17" s="26"/>
      <c r="G17" s="26"/>
      <c r="H17" s="26"/>
      <c r="I17" s="26"/>
    </row>
    <row r="18" spans="1:9" ht="66.95" customHeight="1" x14ac:dyDescent="0.25">
      <c r="A18" s="15" t="s">
        <v>377</v>
      </c>
      <c r="B18" s="16" t="s">
        <v>1301</v>
      </c>
      <c r="C18" s="16" t="s">
        <v>1302</v>
      </c>
      <c r="D18" s="16" t="s">
        <v>1303</v>
      </c>
      <c r="E18" s="16" t="s">
        <v>1304</v>
      </c>
      <c r="F18" s="17" t="s">
        <v>15</v>
      </c>
      <c r="G18" s="17" t="s">
        <v>1123</v>
      </c>
      <c r="H18" s="17"/>
      <c r="I18" s="16" t="s">
        <v>1305</v>
      </c>
    </row>
    <row r="19" spans="1:9" ht="18" customHeight="1" x14ac:dyDescent="0.25">
      <c r="A19" s="25" t="s">
        <v>1306</v>
      </c>
      <c r="B19" s="26"/>
      <c r="C19" s="26"/>
      <c r="D19" s="26"/>
      <c r="E19" s="26"/>
      <c r="F19" s="26"/>
      <c r="G19" s="26"/>
      <c r="H19" s="26"/>
      <c r="I19" s="26"/>
    </row>
    <row r="20" spans="1:9" ht="54.4" customHeight="1" x14ac:dyDescent="0.25">
      <c r="A20" s="15" t="s">
        <v>1307</v>
      </c>
      <c r="B20" s="16" t="s">
        <v>1308</v>
      </c>
      <c r="C20" s="16" t="s">
        <v>1309</v>
      </c>
      <c r="D20" s="16" t="s">
        <v>1310</v>
      </c>
      <c r="E20" s="16" t="s">
        <v>1311</v>
      </c>
      <c r="F20" s="17" t="s">
        <v>15</v>
      </c>
      <c r="G20" s="17" t="s">
        <v>1123</v>
      </c>
      <c r="H20" s="17"/>
      <c r="I20" s="16"/>
    </row>
    <row r="21" spans="1:9" ht="41.85" customHeight="1" x14ac:dyDescent="0.25">
      <c r="A21" s="18" t="s">
        <v>1312</v>
      </c>
      <c r="B21" s="19" t="s">
        <v>1313</v>
      </c>
      <c r="C21" s="19" t="s">
        <v>1314</v>
      </c>
      <c r="D21" s="19" t="s">
        <v>1315</v>
      </c>
      <c r="E21" s="19" t="s">
        <v>1316</v>
      </c>
      <c r="F21" s="17" t="s">
        <v>15</v>
      </c>
      <c r="G21" s="17" t="s">
        <v>1123</v>
      </c>
      <c r="H21" s="17"/>
      <c r="I21" s="19"/>
    </row>
    <row r="22" spans="1:9" ht="18" customHeight="1" x14ac:dyDescent="0.25">
      <c r="A22" s="25" t="s">
        <v>1317</v>
      </c>
      <c r="B22" s="26"/>
      <c r="C22" s="26"/>
      <c r="D22" s="26"/>
      <c r="E22" s="26"/>
      <c r="F22" s="26"/>
      <c r="G22" s="26"/>
      <c r="H22" s="26"/>
      <c r="I22" s="26"/>
    </row>
    <row r="23" spans="1:9" ht="41.85" customHeight="1" x14ac:dyDescent="0.25">
      <c r="A23" s="15" t="s">
        <v>458</v>
      </c>
      <c r="B23" s="16" t="s">
        <v>1318</v>
      </c>
      <c r="C23" s="16" t="s">
        <v>1319</v>
      </c>
      <c r="D23" s="16" t="s">
        <v>1320</v>
      </c>
      <c r="E23" s="16" t="s">
        <v>1321</v>
      </c>
      <c r="F23" s="17" t="s">
        <v>15</v>
      </c>
      <c r="G23" s="17" t="s">
        <v>1123</v>
      </c>
      <c r="H23" s="17"/>
      <c r="I23" s="16" t="s">
        <v>1322</v>
      </c>
    </row>
    <row r="24" spans="1:9" ht="18" customHeight="1" x14ac:dyDescent="0.25">
      <c r="A24" s="25" t="s">
        <v>1323</v>
      </c>
      <c r="B24" s="26"/>
      <c r="C24" s="26"/>
      <c r="D24" s="26"/>
      <c r="E24" s="26"/>
      <c r="F24" s="26"/>
      <c r="G24" s="26"/>
      <c r="H24" s="26"/>
      <c r="I24" s="26"/>
    </row>
    <row r="25" spans="1:9" ht="66.95" customHeight="1" x14ac:dyDescent="0.25">
      <c r="A25" s="15" t="s">
        <v>461</v>
      </c>
      <c r="B25" s="16" t="s">
        <v>1324</v>
      </c>
      <c r="C25" s="16" t="s">
        <v>1325</v>
      </c>
      <c r="D25" s="16" t="s">
        <v>1326</v>
      </c>
      <c r="E25" s="16" t="s">
        <v>1327</v>
      </c>
      <c r="F25" s="17" t="s">
        <v>15</v>
      </c>
      <c r="G25" s="17" t="s">
        <v>1123</v>
      </c>
      <c r="H25" s="17"/>
      <c r="I25" s="16" t="s">
        <v>1322</v>
      </c>
    </row>
  </sheetData>
  <mergeCells count="10">
    <mergeCell ref="A22:I22"/>
    <mergeCell ref="A24:I24"/>
    <mergeCell ref="A15:I15"/>
    <mergeCell ref="A19:I19"/>
    <mergeCell ref="A2:I2"/>
    <mergeCell ref="A10:I10"/>
    <mergeCell ref="A5:I5"/>
    <mergeCell ref="A13:I13"/>
    <mergeCell ref="A17:I17"/>
    <mergeCell ref="A8:I8"/>
  </mergeCells>
  <dataValidations count="1">
    <dataValidation type="list" allowBlank="1" sqref="F3:F4 F6:F7 F9 F11:F12 F14 F16 F18 F20:F21 F23 F25" xr:uid="{00000000-0002-0000-0300-000000000000}">
      <formula1>"Pass,Fail,N/A"</formula1>
    </dataValidation>
  </dataValidations>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3"/>
  <sheetViews>
    <sheetView workbookViewId="0">
      <pane ySplit="1" topLeftCell="A7" activePane="bottomLeft" state="frozen"/>
      <selection pane="bottomLeft" activeCell="G17" sqref="G17"/>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1328</v>
      </c>
      <c r="B2" s="26"/>
      <c r="C2" s="26"/>
      <c r="D2" s="26"/>
      <c r="E2" s="26"/>
      <c r="F2" s="26"/>
      <c r="G2" s="26"/>
      <c r="H2" s="26"/>
      <c r="I2" s="26"/>
    </row>
    <row r="3" spans="1:9" ht="29.25" customHeight="1" x14ac:dyDescent="0.25">
      <c r="A3" s="15" t="s">
        <v>1329</v>
      </c>
      <c r="B3" s="16" t="s">
        <v>1330</v>
      </c>
      <c r="C3" s="16" t="s">
        <v>1331</v>
      </c>
      <c r="D3" s="16" t="s">
        <v>1332</v>
      </c>
      <c r="E3" s="16" t="s">
        <v>1333</v>
      </c>
      <c r="F3" s="17" t="s">
        <v>15</v>
      </c>
      <c r="G3" s="17" t="s">
        <v>1123</v>
      </c>
      <c r="H3" s="17"/>
      <c r="I3" s="16"/>
    </row>
    <row r="4" spans="1:9" ht="41.85" customHeight="1" x14ac:dyDescent="0.25">
      <c r="A4" s="18" t="s">
        <v>1334</v>
      </c>
      <c r="B4" s="19" t="s">
        <v>1335</v>
      </c>
      <c r="C4" s="19" t="s">
        <v>1336</v>
      </c>
      <c r="D4" s="19" t="s">
        <v>1337</v>
      </c>
      <c r="E4" s="19" t="s">
        <v>1338</v>
      </c>
      <c r="F4" s="17" t="s">
        <v>15</v>
      </c>
      <c r="G4" s="17" t="s">
        <v>1123</v>
      </c>
      <c r="H4" s="17"/>
      <c r="I4" s="19"/>
    </row>
    <row r="5" spans="1:9" ht="29.25" customHeight="1" x14ac:dyDescent="0.25">
      <c r="A5" s="18" t="s">
        <v>1339</v>
      </c>
      <c r="B5" s="19" t="s">
        <v>1340</v>
      </c>
      <c r="C5" s="19" t="s">
        <v>1336</v>
      </c>
      <c r="D5" s="19" t="s">
        <v>1341</v>
      </c>
      <c r="E5" s="19" t="s">
        <v>1342</v>
      </c>
      <c r="F5" s="17" t="s">
        <v>15</v>
      </c>
      <c r="G5" s="17" t="s">
        <v>1123</v>
      </c>
      <c r="H5" s="17"/>
      <c r="I5" s="19"/>
    </row>
    <row r="6" spans="1:9" ht="29.25" customHeight="1" x14ac:dyDescent="0.25">
      <c r="A6" s="15" t="s">
        <v>1343</v>
      </c>
      <c r="B6" s="16" t="s">
        <v>1344</v>
      </c>
      <c r="C6" s="16" t="s">
        <v>1345</v>
      </c>
      <c r="D6" s="16" t="s">
        <v>1346</v>
      </c>
      <c r="E6" s="16" t="s">
        <v>1347</v>
      </c>
      <c r="F6" s="17" t="s">
        <v>56</v>
      </c>
      <c r="G6" s="17" t="s">
        <v>1123</v>
      </c>
      <c r="H6" s="17"/>
      <c r="I6" s="16" t="s">
        <v>1348</v>
      </c>
    </row>
    <row r="7" spans="1:9" ht="29.25" customHeight="1" x14ac:dyDescent="0.25">
      <c r="A7" s="25" t="s">
        <v>1349</v>
      </c>
      <c r="B7" s="26"/>
      <c r="C7" s="26"/>
      <c r="D7" s="26"/>
      <c r="E7" s="26"/>
      <c r="F7" s="26"/>
      <c r="G7" s="26"/>
      <c r="H7" s="26"/>
      <c r="I7" s="26"/>
    </row>
    <row r="8" spans="1:9" ht="18" customHeight="1" x14ac:dyDescent="0.25">
      <c r="A8" s="15" t="s">
        <v>410</v>
      </c>
      <c r="B8" s="16" t="s">
        <v>1350</v>
      </c>
      <c r="C8" s="16" t="s">
        <v>1331</v>
      </c>
      <c r="D8" s="16" t="s">
        <v>1351</v>
      </c>
      <c r="E8" s="16" t="s">
        <v>1352</v>
      </c>
      <c r="F8" s="17" t="s">
        <v>15</v>
      </c>
      <c r="G8" s="17" t="s">
        <v>1123</v>
      </c>
      <c r="H8" s="17"/>
      <c r="I8" s="16" t="s">
        <v>1353</v>
      </c>
    </row>
    <row r="9" spans="1:9" ht="29.25" customHeight="1" x14ac:dyDescent="0.25">
      <c r="A9" s="25" t="s">
        <v>1354</v>
      </c>
      <c r="B9" s="26"/>
      <c r="C9" s="26"/>
      <c r="D9" s="26"/>
      <c r="E9" s="26"/>
      <c r="F9" s="26"/>
      <c r="G9" s="26"/>
      <c r="H9" s="26"/>
      <c r="I9" s="26"/>
    </row>
    <row r="10" spans="1:9" ht="18" customHeight="1" x14ac:dyDescent="0.25">
      <c r="A10" s="15" t="s">
        <v>413</v>
      </c>
      <c r="B10" s="16" t="s">
        <v>1355</v>
      </c>
      <c r="C10" s="16" t="s">
        <v>1356</v>
      </c>
      <c r="D10" s="16" t="s">
        <v>1357</v>
      </c>
      <c r="E10" s="16" t="s">
        <v>1358</v>
      </c>
      <c r="F10" s="17" t="s">
        <v>15</v>
      </c>
      <c r="G10" s="17" t="s">
        <v>1123</v>
      </c>
      <c r="H10" s="17"/>
      <c r="I10" s="16"/>
    </row>
    <row r="11" spans="1:9" ht="41.85" customHeight="1" x14ac:dyDescent="0.25">
      <c r="A11" s="23" t="s">
        <v>235</v>
      </c>
    </row>
    <row r="12" spans="1:9" ht="18" customHeight="1" x14ac:dyDescent="0.25">
      <c r="A12" s="15" t="s">
        <v>1359</v>
      </c>
      <c r="B12" s="16" t="s">
        <v>1360</v>
      </c>
      <c r="C12" s="16" t="s">
        <v>1361</v>
      </c>
      <c r="D12" s="16" t="s">
        <v>1362</v>
      </c>
      <c r="E12" s="16" t="s">
        <v>1363</v>
      </c>
      <c r="F12" s="17" t="s">
        <v>15</v>
      </c>
      <c r="G12" s="17" t="s">
        <v>16</v>
      </c>
      <c r="H12" s="17"/>
      <c r="I12" s="16" t="s">
        <v>1364</v>
      </c>
    </row>
    <row r="13" spans="1:9" ht="29.25" customHeight="1" x14ac:dyDescent="0.25"/>
  </sheetData>
  <mergeCells count="3">
    <mergeCell ref="A7:I7"/>
    <mergeCell ref="A9:I9"/>
    <mergeCell ref="A2:I2"/>
  </mergeCells>
  <dataValidations count="1">
    <dataValidation type="list" allowBlank="1" sqref="F3:F7 F9 F11 F13" xr:uid="{00000000-0002-0000-0400-000000000000}">
      <formula1>"Pass,Fail,N/A"</formula1>
    </dataValidation>
  </dataValidation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2"/>
  <sheetViews>
    <sheetView workbookViewId="0">
      <pane ySplit="1" topLeftCell="A11" activePane="bottomLeft" state="frozen"/>
      <selection pane="bottomLeft" activeCell="I22" sqref="I22"/>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1365</v>
      </c>
      <c r="B2" s="26"/>
      <c r="C2" s="26"/>
      <c r="D2" s="26"/>
      <c r="E2" s="26"/>
      <c r="F2" s="26"/>
      <c r="G2" s="26"/>
      <c r="H2" s="26"/>
      <c r="I2" s="26"/>
    </row>
    <row r="3" spans="1:9" ht="54.4" customHeight="1" x14ac:dyDescent="0.25">
      <c r="A3" s="15" t="s">
        <v>1366</v>
      </c>
      <c r="B3" s="16" t="s">
        <v>1367</v>
      </c>
      <c r="C3" s="16" t="s">
        <v>1368</v>
      </c>
      <c r="D3" s="16" t="s">
        <v>1369</v>
      </c>
      <c r="E3" s="16" t="s">
        <v>1370</v>
      </c>
      <c r="F3" s="17" t="s">
        <v>15</v>
      </c>
      <c r="G3" s="17" t="s">
        <v>1123</v>
      </c>
      <c r="H3" s="17"/>
      <c r="I3" s="16"/>
    </row>
    <row r="4" spans="1:9" ht="29.25" customHeight="1" x14ac:dyDescent="0.25">
      <c r="A4" s="18" t="s">
        <v>1371</v>
      </c>
      <c r="B4" s="19" t="s">
        <v>1372</v>
      </c>
      <c r="C4" s="19" t="s">
        <v>1373</v>
      </c>
      <c r="D4" s="19" t="s">
        <v>1374</v>
      </c>
      <c r="E4" s="19" t="s">
        <v>1375</v>
      </c>
      <c r="F4" s="17" t="s">
        <v>15</v>
      </c>
      <c r="G4" s="17" t="s">
        <v>1123</v>
      </c>
      <c r="H4" s="17"/>
      <c r="I4" s="19"/>
    </row>
    <row r="5" spans="1:9" ht="18" customHeight="1" x14ac:dyDescent="0.25">
      <c r="A5" s="25" t="s">
        <v>1376</v>
      </c>
      <c r="B5" s="26"/>
      <c r="C5" s="26"/>
      <c r="D5" s="26"/>
      <c r="E5" s="26"/>
      <c r="F5" s="26"/>
      <c r="G5" s="26"/>
      <c r="H5" s="26"/>
      <c r="I5" s="26"/>
    </row>
    <row r="6" spans="1:9" ht="54.4" customHeight="1" x14ac:dyDescent="0.25">
      <c r="A6" s="15" t="s">
        <v>1377</v>
      </c>
      <c r="B6" s="16" t="s">
        <v>1378</v>
      </c>
      <c r="C6" s="16" t="s">
        <v>1379</v>
      </c>
      <c r="D6" s="16" t="s">
        <v>1380</v>
      </c>
      <c r="E6" s="16" t="s">
        <v>1381</v>
      </c>
      <c r="F6" s="17" t="s">
        <v>15</v>
      </c>
      <c r="G6" s="17" t="s">
        <v>1123</v>
      </c>
      <c r="H6" s="17"/>
      <c r="I6" s="16"/>
    </row>
    <row r="7" spans="1:9" ht="41.85" customHeight="1" x14ac:dyDescent="0.25">
      <c r="A7" s="18" t="s">
        <v>1382</v>
      </c>
      <c r="B7" s="19" t="s">
        <v>1383</v>
      </c>
      <c r="C7" s="19" t="s">
        <v>1384</v>
      </c>
      <c r="D7" s="19" t="s">
        <v>1385</v>
      </c>
      <c r="E7" s="19" t="s">
        <v>1386</v>
      </c>
      <c r="F7" s="17" t="s">
        <v>15</v>
      </c>
      <c r="G7" s="17" t="s">
        <v>16</v>
      </c>
      <c r="H7" s="17" t="s">
        <v>123</v>
      </c>
      <c r="I7" s="19" t="s">
        <v>1387</v>
      </c>
    </row>
    <row r="8" spans="1:9" ht="18" customHeight="1" x14ac:dyDescent="0.25">
      <c r="A8" s="25" t="s">
        <v>1388</v>
      </c>
      <c r="B8" s="26"/>
      <c r="C8" s="26"/>
      <c r="D8" s="26"/>
      <c r="E8" s="26"/>
      <c r="F8" s="26"/>
      <c r="G8" s="26"/>
      <c r="H8" s="26"/>
      <c r="I8" s="26"/>
    </row>
    <row r="9" spans="1:9" ht="41.85" customHeight="1" x14ac:dyDescent="0.25">
      <c r="A9" s="15" t="s">
        <v>424</v>
      </c>
      <c r="B9" s="16" t="s">
        <v>1389</v>
      </c>
      <c r="C9" s="16" t="s">
        <v>1390</v>
      </c>
      <c r="D9" s="16" t="s">
        <v>1391</v>
      </c>
      <c r="E9" s="16" t="s">
        <v>1392</v>
      </c>
      <c r="F9" s="17" t="s">
        <v>15</v>
      </c>
      <c r="G9" s="17"/>
      <c r="H9" s="17"/>
      <c r="I9" s="16" t="s">
        <v>1393</v>
      </c>
    </row>
    <row r="10" spans="1:9" ht="18" customHeight="1" x14ac:dyDescent="0.25">
      <c r="A10" s="25" t="s">
        <v>1394</v>
      </c>
      <c r="B10" s="26"/>
      <c r="C10" s="26"/>
      <c r="D10" s="26"/>
      <c r="E10" s="26"/>
      <c r="F10" s="26"/>
      <c r="G10" s="26"/>
      <c r="H10" s="26"/>
      <c r="I10" s="26"/>
    </row>
    <row r="11" spans="1:9" ht="41.85" customHeight="1" x14ac:dyDescent="0.25">
      <c r="A11" s="15" t="s">
        <v>429</v>
      </c>
      <c r="B11" s="16" t="s">
        <v>1395</v>
      </c>
      <c r="C11" s="16" t="s">
        <v>1396</v>
      </c>
      <c r="D11" s="16" t="s">
        <v>1395</v>
      </c>
      <c r="E11" s="16" t="s">
        <v>1397</v>
      </c>
      <c r="F11" s="17" t="s">
        <v>15</v>
      </c>
      <c r="G11" s="17" t="s">
        <v>1123</v>
      </c>
      <c r="H11" s="17"/>
      <c r="I11" s="16"/>
    </row>
    <row r="12" spans="1:9" ht="18" customHeight="1" x14ac:dyDescent="0.25">
      <c r="A12" s="25" t="s">
        <v>1398</v>
      </c>
      <c r="B12" s="26"/>
      <c r="C12" s="26"/>
      <c r="D12" s="26"/>
      <c r="E12" s="26"/>
      <c r="F12" s="26"/>
      <c r="G12" s="26"/>
      <c r="H12" s="26"/>
      <c r="I12" s="26"/>
    </row>
    <row r="13" spans="1:9" ht="41.85" customHeight="1" x14ac:dyDescent="0.25">
      <c r="A13" s="15" t="s">
        <v>1399</v>
      </c>
      <c r="B13" s="16" t="s">
        <v>1400</v>
      </c>
      <c r="C13" s="16" t="s">
        <v>1401</v>
      </c>
      <c r="D13" s="16" t="s">
        <v>1402</v>
      </c>
      <c r="E13" s="16" t="s">
        <v>1403</v>
      </c>
      <c r="F13" s="17" t="s">
        <v>15</v>
      </c>
      <c r="G13" s="17" t="s">
        <v>1404</v>
      </c>
      <c r="H13" s="17"/>
      <c r="I13" s="16"/>
    </row>
    <row r="14" spans="1:9" ht="29.25" customHeight="1" x14ac:dyDescent="0.25">
      <c r="A14" s="18" t="s">
        <v>1405</v>
      </c>
      <c r="B14" s="19" t="s">
        <v>1406</v>
      </c>
      <c r="C14" s="19" t="s">
        <v>1407</v>
      </c>
      <c r="D14" s="19" t="s">
        <v>1408</v>
      </c>
      <c r="E14" s="19" t="s">
        <v>1409</v>
      </c>
      <c r="F14" s="17" t="s">
        <v>15</v>
      </c>
      <c r="G14" s="17" t="s">
        <v>1404</v>
      </c>
      <c r="H14" s="17"/>
      <c r="I14" s="19"/>
    </row>
    <row r="15" spans="1:9" ht="18" customHeight="1" x14ac:dyDescent="0.25">
      <c r="A15" s="25" t="s">
        <v>1410</v>
      </c>
      <c r="B15" s="26"/>
      <c r="C15" s="26"/>
      <c r="D15" s="26"/>
      <c r="E15" s="26"/>
      <c r="F15" s="26"/>
      <c r="G15" s="26"/>
      <c r="H15" s="26"/>
      <c r="I15" s="26"/>
    </row>
    <row r="16" spans="1:9" ht="54.4" customHeight="1" x14ac:dyDescent="0.25">
      <c r="A16" s="15" t="s">
        <v>435</v>
      </c>
      <c r="B16" s="16" t="s">
        <v>1411</v>
      </c>
      <c r="C16" s="16" t="s">
        <v>1412</v>
      </c>
      <c r="D16" s="16" t="s">
        <v>1413</v>
      </c>
      <c r="E16" s="16" t="s">
        <v>1414</v>
      </c>
      <c r="F16" s="17" t="s">
        <v>15</v>
      </c>
      <c r="G16" s="17" t="s">
        <v>16</v>
      </c>
      <c r="H16" s="17"/>
      <c r="I16" s="16" t="s">
        <v>1415</v>
      </c>
    </row>
    <row r="17" spans="1:9" ht="18" customHeight="1" x14ac:dyDescent="0.25">
      <c r="A17" s="25" t="s">
        <v>1416</v>
      </c>
      <c r="B17" s="26"/>
      <c r="C17" s="26"/>
      <c r="D17" s="26"/>
      <c r="E17" s="26"/>
      <c r="F17" s="26"/>
      <c r="G17" s="26"/>
      <c r="H17" s="26"/>
      <c r="I17" s="26"/>
    </row>
    <row r="18" spans="1:9" ht="41.85" customHeight="1" x14ac:dyDescent="0.25">
      <c r="A18" s="15" t="s">
        <v>438</v>
      </c>
      <c r="B18" s="16" t="s">
        <v>1417</v>
      </c>
      <c r="C18" s="16" t="s">
        <v>1418</v>
      </c>
      <c r="D18" s="16" t="s">
        <v>1419</v>
      </c>
      <c r="E18" s="16" t="s">
        <v>1420</v>
      </c>
      <c r="F18" s="17" t="s">
        <v>15</v>
      </c>
      <c r="G18" s="17" t="s">
        <v>1404</v>
      </c>
      <c r="H18" s="17"/>
      <c r="I18" s="16"/>
    </row>
    <row r="19" spans="1:9" ht="18" customHeight="1" x14ac:dyDescent="0.25">
      <c r="A19" s="25" t="s">
        <v>1421</v>
      </c>
      <c r="B19" s="26"/>
      <c r="C19" s="26"/>
      <c r="D19" s="26"/>
      <c r="E19" s="26"/>
      <c r="F19" s="26"/>
      <c r="G19" s="26"/>
      <c r="H19" s="26"/>
      <c r="I19" s="26"/>
    </row>
    <row r="20" spans="1:9" ht="41.85" customHeight="1" x14ac:dyDescent="0.25">
      <c r="A20" s="15" t="s">
        <v>442</v>
      </c>
      <c r="B20" s="16" t="s">
        <v>1422</v>
      </c>
      <c r="C20" s="16" t="s">
        <v>1423</v>
      </c>
      <c r="D20" s="16" t="s">
        <v>1424</v>
      </c>
      <c r="E20" s="16" t="s">
        <v>1425</v>
      </c>
      <c r="F20" s="17" t="s">
        <v>15</v>
      </c>
      <c r="G20" s="17" t="s">
        <v>1404</v>
      </c>
      <c r="H20" s="17"/>
      <c r="I20" s="16"/>
    </row>
    <row r="21" spans="1:9" ht="18" customHeight="1" x14ac:dyDescent="0.25"/>
    <row r="22" spans="1:9" ht="66.95" customHeight="1" x14ac:dyDescent="0.25"/>
  </sheetData>
  <mergeCells count="8">
    <mergeCell ref="A15:I15"/>
    <mergeCell ref="A19:I19"/>
    <mergeCell ref="A2:I2"/>
    <mergeCell ref="A10:I10"/>
    <mergeCell ref="A5:I5"/>
    <mergeCell ref="A17:I17"/>
    <mergeCell ref="A8:I8"/>
    <mergeCell ref="A12:I12"/>
  </mergeCells>
  <dataValidations count="1">
    <dataValidation type="list" allowBlank="1" sqref="F3:F4 F6:F7 F9 F11 F13:F14 F16 F18 F20 F22" xr:uid="{00000000-0002-0000-0500-000000000000}">
      <formula1>"Pass,Fail,N/A"</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
  <sheetViews>
    <sheetView workbookViewId="0">
      <pane ySplit="1" topLeftCell="A5" activePane="bottomLeft" state="frozen"/>
      <selection pane="bottomLeft" activeCell="J14" sqref="J14"/>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1426</v>
      </c>
      <c r="B2" s="26"/>
      <c r="C2" s="26"/>
      <c r="D2" s="26"/>
      <c r="E2" s="26"/>
      <c r="F2" s="26"/>
      <c r="G2" s="26"/>
      <c r="H2" s="26"/>
      <c r="I2" s="26"/>
    </row>
    <row r="3" spans="1:9" ht="54.4" customHeight="1" x14ac:dyDescent="0.25">
      <c r="A3" s="15" t="s">
        <v>1427</v>
      </c>
      <c r="B3" s="16" t="s">
        <v>1428</v>
      </c>
      <c r="C3" s="16" t="s">
        <v>1429</v>
      </c>
      <c r="D3" s="16" t="s">
        <v>1430</v>
      </c>
      <c r="E3" s="16" t="s">
        <v>1431</v>
      </c>
      <c r="F3" s="17" t="s">
        <v>15</v>
      </c>
      <c r="G3" s="17" t="s">
        <v>1404</v>
      </c>
      <c r="H3" s="17"/>
      <c r="I3" s="16"/>
    </row>
    <row r="4" spans="1:9" ht="66.95" customHeight="1" x14ac:dyDescent="0.25">
      <c r="A4" s="18" t="s">
        <v>1432</v>
      </c>
      <c r="B4" s="19" t="s">
        <v>1433</v>
      </c>
      <c r="C4" s="19" t="s">
        <v>1434</v>
      </c>
      <c r="D4" s="19" t="s">
        <v>1435</v>
      </c>
      <c r="E4" s="19" t="s">
        <v>1436</v>
      </c>
      <c r="F4" s="17" t="s">
        <v>15</v>
      </c>
      <c r="G4" s="17" t="s">
        <v>1404</v>
      </c>
      <c r="H4" s="17"/>
      <c r="I4" s="19"/>
    </row>
    <row r="5" spans="1:9" ht="41.85" customHeight="1" x14ac:dyDescent="0.25">
      <c r="A5" s="15" t="s">
        <v>1437</v>
      </c>
      <c r="B5" s="16" t="s">
        <v>1438</v>
      </c>
      <c r="C5" s="16" t="s">
        <v>1439</v>
      </c>
      <c r="D5" s="16" t="s">
        <v>1440</v>
      </c>
      <c r="E5" s="16" t="s">
        <v>1441</v>
      </c>
      <c r="F5" s="17" t="s">
        <v>15</v>
      </c>
      <c r="G5" s="17" t="s">
        <v>1404</v>
      </c>
      <c r="H5" s="17"/>
      <c r="I5" s="16" t="s">
        <v>1442</v>
      </c>
    </row>
    <row r="6" spans="1:9" ht="18" customHeight="1" x14ac:dyDescent="0.25">
      <c r="A6" s="25" t="s">
        <v>1443</v>
      </c>
      <c r="B6" s="26"/>
      <c r="C6" s="26"/>
      <c r="D6" s="26"/>
      <c r="E6" s="26"/>
      <c r="F6" s="26"/>
      <c r="G6" s="26"/>
      <c r="H6" s="26"/>
      <c r="I6" s="26"/>
    </row>
    <row r="7" spans="1:9" ht="66.95" customHeight="1" x14ac:dyDescent="0.25">
      <c r="A7" s="15" t="s">
        <v>1444</v>
      </c>
      <c r="B7" s="16" t="s">
        <v>1445</v>
      </c>
      <c r="C7" s="16" t="s">
        <v>1446</v>
      </c>
      <c r="D7" s="16" t="s">
        <v>1445</v>
      </c>
      <c r="E7" s="16" t="s">
        <v>1447</v>
      </c>
      <c r="F7" s="17" t="s">
        <v>15</v>
      </c>
      <c r="G7" s="17" t="s">
        <v>1404</v>
      </c>
      <c r="H7" s="17"/>
      <c r="I7" s="16" t="s">
        <v>1448</v>
      </c>
    </row>
    <row r="8" spans="1:9" ht="18" customHeight="1" x14ac:dyDescent="0.25">
      <c r="A8" s="18" t="s">
        <v>1449</v>
      </c>
      <c r="B8" s="19" t="s">
        <v>1450</v>
      </c>
      <c r="C8" s="19" t="s">
        <v>1451</v>
      </c>
      <c r="D8" s="19" t="s">
        <v>1452</v>
      </c>
      <c r="E8" s="19" t="s">
        <v>1453</v>
      </c>
      <c r="F8" s="17" t="s">
        <v>15</v>
      </c>
      <c r="G8" s="17" t="s">
        <v>1404</v>
      </c>
      <c r="H8" s="17"/>
      <c r="I8" s="19"/>
    </row>
    <row r="9" spans="1:9" ht="54.4" customHeight="1" x14ac:dyDescent="0.25">
      <c r="A9" s="25" t="s">
        <v>1454</v>
      </c>
      <c r="B9" s="26"/>
      <c r="C9" s="26"/>
      <c r="D9" s="26"/>
      <c r="E9" s="26"/>
      <c r="F9" s="26"/>
      <c r="G9" s="26"/>
      <c r="H9" s="26"/>
      <c r="I9" s="26"/>
    </row>
    <row r="10" spans="1:9" ht="41.85" customHeight="1" x14ac:dyDescent="0.25">
      <c r="A10" s="15" t="s">
        <v>848</v>
      </c>
      <c r="B10" s="16" t="s">
        <v>1455</v>
      </c>
      <c r="C10" s="16" t="s">
        <v>1456</v>
      </c>
      <c r="D10" s="16" t="s">
        <v>1457</v>
      </c>
      <c r="E10" s="16" t="s">
        <v>1458</v>
      </c>
      <c r="F10" s="17" t="s">
        <v>15</v>
      </c>
      <c r="G10" s="17" t="s">
        <v>1404</v>
      </c>
      <c r="H10" s="17"/>
      <c r="I10" s="16"/>
    </row>
    <row r="11" spans="1:9" ht="18" customHeight="1" x14ac:dyDescent="0.25">
      <c r="A11" s="25" t="s">
        <v>1459</v>
      </c>
      <c r="B11" s="26"/>
      <c r="C11" s="26"/>
      <c r="D11" s="26"/>
      <c r="E11" s="26"/>
      <c r="F11" s="26"/>
      <c r="G11" s="26"/>
      <c r="H11" s="26"/>
      <c r="I11" s="26"/>
    </row>
    <row r="12" spans="1:9" ht="54.4" customHeight="1" x14ac:dyDescent="0.25">
      <c r="A12" s="15" t="s">
        <v>1460</v>
      </c>
      <c r="B12" s="16" t="s">
        <v>1461</v>
      </c>
      <c r="C12" s="16" t="s">
        <v>1462</v>
      </c>
      <c r="D12" s="16" t="s">
        <v>1463</v>
      </c>
      <c r="E12" s="16" t="s">
        <v>1464</v>
      </c>
      <c r="F12" s="17" t="s">
        <v>15</v>
      </c>
      <c r="G12" s="17" t="s">
        <v>1404</v>
      </c>
      <c r="H12" s="17"/>
      <c r="I12" s="16"/>
    </row>
    <row r="13" spans="1:9" ht="18" customHeight="1" x14ac:dyDescent="0.25">
      <c r="A13" s="18" t="s">
        <v>1465</v>
      </c>
      <c r="B13" s="19" t="s">
        <v>1466</v>
      </c>
      <c r="C13" s="19" t="s">
        <v>1467</v>
      </c>
      <c r="D13" s="19" t="s">
        <v>1468</v>
      </c>
      <c r="E13" s="19" t="s">
        <v>1469</v>
      </c>
      <c r="F13" s="17" t="s">
        <v>15</v>
      </c>
      <c r="G13" s="17" t="s">
        <v>1404</v>
      </c>
      <c r="H13" s="17"/>
      <c r="I13" s="19"/>
    </row>
    <row r="14" spans="1:9" ht="54.4" customHeight="1" x14ac:dyDescent="0.25"/>
    <row r="15" spans="1:9" ht="41.85" customHeight="1" x14ac:dyDescent="0.25"/>
  </sheetData>
  <mergeCells count="4">
    <mergeCell ref="A11:I11"/>
    <mergeCell ref="A9:I9"/>
    <mergeCell ref="A2:I2"/>
    <mergeCell ref="A6:I6"/>
  </mergeCells>
  <dataValidations count="1">
    <dataValidation type="list" allowBlank="1" sqref="F3:F5 F7 F9:F10 F12 F14:F15" xr:uid="{00000000-0002-0000-0600-000000000000}">
      <formula1>"Pass,Fail,N/A"</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3"/>
  <sheetViews>
    <sheetView workbookViewId="0">
      <pane ySplit="1" topLeftCell="A4" activePane="bottomLeft" state="frozen"/>
      <selection pane="bottomLeft" activeCell="H11" sqref="H11"/>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1470</v>
      </c>
      <c r="B2" s="26"/>
      <c r="C2" s="26"/>
      <c r="D2" s="26"/>
      <c r="E2" s="26"/>
      <c r="F2" s="26"/>
      <c r="G2" s="26"/>
      <c r="H2" s="26"/>
      <c r="I2" s="26"/>
    </row>
    <row r="3" spans="1:9" ht="41.85" customHeight="1" x14ac:dyDescent="0.25">
      <c r="A3" s="15" t="s">
        <v>1471</v>
      </c>
      <c r="B3" s="16" t="s">
        <v>1472</v>
      </c>
      <c r="C3" s="16" t="s">
        <v>1473</v>
      </c>
      <c r="D3" s="16" t="s">
        <v>1474</v>
      </c>
      <c r="E3" s="16" t="s">
        <v>1475</v>
      </c>
      <c r="F3" s="17" t="s">
        <v>15</v>
      </c>
      <c r="G3" s="17" t="s">
        <v>1404</v>
      </c>
      <c r="H3" s="17"/>
      <c r="I3" s="16"/>
    </row>
    <row r="4" spans="1:9" ht="41.85" customHeight="1" x14ac:dyDescent="0.25">
      <c r="A4" s="18" t="s">
        <v>1476</v>
      </c>
      <c r="B4" s="19" t="s">
        <v>1477</v>
      </c>
      <c r="C4" s="19" t="s">
        <v>1478</v>
      </c>
      <c r="D4" s="19" t="s">
        <v>1479</v>
      </c>
      <c r="E4" s="19" t="s">
        <v>1480</v>
      </c>
      <c r="F4" s="17" t="s">
        <v>15</v>
      </c>
      <c r="G4" s="17" t="s">
        <v>1404</v>
      </c>
      <c r="H4" s="17"/>
      <c r="I4" s="19"/>
    </row>
    <row r="5" spans="1:9" ht="18" customHeight="1" x14ac:dyDescent="0.25">
      <c r="A5" s="25" t="s">
        <v>1481</v>
      </c>
      <c r="B5" s="26"/>
      <c r="C5" s="26"/>
      <c r="D5" s="26"/>
      <c r="E5" s="26"/>
      <c r="F5" s="26"/>
      <c r="G5" s="26"/>
      <c r="H5" s="26"/>
      <c r="I5" s="26"/>
    </row>
    <row r="6" spans="1:9" ht="54.4" customHeight="1" x14ac:dyDescent="0.25">
      <c r="A6" s="15" t="s">
        <v>1482</v>
      </c>
      <c r="B6" s="16" t="s">
        <v>1483</v>
      </c>
      <c r="C6" s="16" t="s">
        <v>1484</v>
      </c>
      <c r="D6" s="16" t="s">
        <v>1485</v>
      </c>
      <c r="E6" s="16" t="s">
        <v>1486</v>
      </c>
      <c r="F6" s="17" t="s">
        <v>15</v>
      </c>
      <c r="G6" s="17" t="s">
        <v>1404</v>
      </c>
      <c r="H6" s="17"/>
      <c r="I6" s="16" t="s">
        <v>1487</v>
      </c>
    </row>
    <row r="7" spans="1:9" ht="66.95" customHeight="1" x14ac:dyDescent="0.25">
      <c r="A7" s="18" t="s">
        <v>1488</v>
      </c>
      <c r="B7" s="19" t="s">
        <v>1489</v>
      </c>
      <c r="C7" s="19" t="s">
        <v>1490</v>
      </c>
      <c r="D7" s="19" t="s">
        <v>1491</v>
      </c>
      <c r="E7" s="19" t="s">
        <v>1492</v>
      </c>
      <c r="F7" s="17" t="s">
        <v>15</v>
      </c>
      <c r="G7" s="17" t="s">
        <v>16</v>
      </c>
      <c r="H7" s="17" t="s">
        <v>123</v>
      </c>
      <c r="I7" s="19" t="s">
        <v>1493</v>
      </c>
    </row>
    <row r="8" spans="1:9" ht="18" customHeight="1" x14ac:dyDescent="0.25">
      <c r="A8" s="25" t="s">
        <v>1494</v>
      </c>
      <c r="B8" s="26"/>
      <c r="C8" s="26"/>
      <c r="D8" s="26"/>
      <c r="E8" s="26"/>
      <c r="F8" s="26"/>
      <c r="G8" s="26"/>
      <c r="H8" s="26"/>
      <c r="I8" s="26"/>
    </row>
    <row r="9" spans="1:9" ht="54.4" customHeight="1" x14ac:dyDescent="0.25">
      <c r="A9" s="15" t="s">
        <v>472</v>
      </c>
      <c r="B9" s="16" t="s">
        <v>1495</v>
      </c>
      <c r="C9" s="16" t="s">
        <v>1496</v>
      </c>
      <c r="D9" s="16" t="s">
        <v>1497</v>
      </c>
      <c r="E9" s="16" t="s">
        <v>1498</v>
      </c>
      <c r="F9" s="17" t="s">
        <v>15</v>
      </c>
      <c r="G9" s="17" t="s">
        <v>16</v>
      </c>
      <c r="H9" s="17" t="s">
        <v>123</v>
      </c>
      <c r="I9" s="16" t="s">
        <v>1499</v>
      </c>
    </row>
    <row r="10" spans="1:9" ht="18" customHeight="1" x14ac:dyDescent="0.25">
      <c r="A10" s="25" t="s">
        <v>1500</v>
      </c>
      <c r="B10" s="26"/>
      <c r="C10" s="26"/>
      <c r="D10" s="26"/>
      <c r="E10" s="26"/>
      <c r="F10" s="26"/>
      <c r="G10" s="26"/>
      <c r="H10" s="26"/>
      <c r="I10" s="26"/>
    </row>
    <row r="11" spans="1:9" ht="41.85" customHeight="1" x14ac:dyDescent="0.25">
      <c r="A11" s="15" t="s">
        <v>475</v>
      </c>
      <c r="B11" s="16" t="s">
        <v>1501</v>
      </c>
      <c r="C11" s="16" t="s">
        <v>1502</v>
      </c>
      <c r="D11" s="16" t="s">
        <v>1503</v>
      </c>
      <c r="E11" s="16" t="s">
        <v>1504</v>
      </c>
      <c r="F11" s="17" t="s">
        <v>269</v>
      </c>
      <c r="G11" s="17" t="s">
        <v>16</v>
      </c>
      <c r="H11" s="17" t="s">
        <v>123</v>
      </c>
      <c r="I11" s="16" t="s">
        <v>1505</v>
      </c>
    </row>
    <row r="12" spans="1:9" ht="18" customHeight="1" x14ac:dyDescent="0.25">
      <c r="A12" s="25" t="s">
        <v>1506</v>
      </c>
      <c r="B12" s="26"/>
      <c r="C12" s="26"/>
      <c r="D12" s="26"/>
      <c r="E12" s="26"/>
      <c r="F12" s="26"/>
      <c r="G12" s="26"/>
      <c r="H12" s="26"/>
      <c r="I12" s="26"/>
    </row>
    <row r="13" spans="1:9" ht="54.4" customHeight="1" x14ac:dyDescent="0.25">
      <c r="A13" s="15" t="s">
        <v>478</v>
      </c>
      <c r="B13" s="16" t="s">
        <v>1507</v>
      </c>
      <c r="C13" s="16" t="s">
        <v>1508</v>
      </c>
      <c r="D13" s="16" t="s">
        <v>1509</v>
      </c>
      <c r="E13" s="16" t="s">
        <v>1510</v>
      </c>
      <c r="F13" s="17"/>
      <c r="G13" s="17"/>
      <c r="H13" s="17"/>
      <c r="I13" s="16" t="s">
        <v>1511</v>
      </c>
    </row>
  </sheetData>
  <mergeCells count="5">
    <mergeCell ref="A2:I2"/>
    <mergeCell ref="A10:I10"/>
    <mergeCell ref="A5:I5"/>
    <mergeCell ref="A8:I8"/>
    <mergeCell ref="A12:I12"/>
  </mergeCells>
  <dataValidations count="1">
    <dataValidation type="list" allowBlank="1" sqref="F3:F4 F6:F7 F9 F11 F13" xr:uid="{00000000-0002-0000-0700-000000000000}">
      <formula1>"Pass,Fail,N/A"</formula1>
    </dataValidation>
  </dataValidation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5"/>
  <sheetViews>
    <sheetView workbookViewId="0">
      <pane ySplit="1" topLeftCell="A8" activePane="bottomLeft" state="frozen"/>
      <selection pane="bottomLeft" activeCell="G15" sqref="G15"/>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1512</v>
      </c>
      <c r="B2" s="26"/>
      <c r="C2" s="26"/>
      <c r="D2" s="26"/>
      <c r="E2" s="26"/>
      <c r="F2" s="26"/>
      <c r="G2" s="26"/>
      <c r="H2" s="26"/>
      <c r="I2" s="26"/>
    </row>
    <row r="3" spans="1:9" ht="29.25" customHeight="1" x14ac:dyDescent="0.25">
      <c r="A3" s="15" t="s">
        <v>1513</v>
      </c>
      <c r="B3" s="16" t="s">
        <v>1514</v>
      </c>
      <c r="C3" s="16" t="s">
        <v>1515</v>
      </c>
      <c r="D3" s="16" t="s">
        <v>1516</v>
      </c>
      <c r="E3" s="16" t="s">
        <v>1517</v>
      </c>
      <c r="F3" s="17" t="s">
        <v>15</v>
      </c>
      <c r="G3" s="17" t="s">
        <v>1123</v>
      </c>
      <c r="H3" s="17"/>
      <c r="I3" s="16"/>
    </row>
    <row r="4" spans="1:9" ht="41.85" customHeight="1" x14ac:dyDescent="0.25">
      <c r="A4" s="18" t="s">
        <v>1518</v>
      </c>
      <c r="B4" s="19" t="s">
        <v>1519</v>
      </c>
      <c r="C4" s="19" t="s">
        <v>1520</v>
      </c>
      <c r="D4" s="19" t="s">
        <v>1521</v>
      </c>
      <c r="E4" s="19" t="s">
        <v>1522</v>
      </c>
      <c r="F4" s="17" t="s">
        <v>15</v>
      </c>
      <c r="G4" s="17" t="s">
        <v>1123</v>
      </c>
      <c r="H4" s="17"/>
      <c r="I4" s="19"/>
    </row>
    <row r="5" spans="1:9" ht="66.95" customHeight="1" x14ac:dyDescent="0.25">
      <c r="A5" s="15" t="s">
        <v>1523</v>
      </c>
      <c r="B5" s="16" t="s">
        <v>1524</v>
      </c>
      <c r="C5" s="16" t="s">
        <v>1525</v>
      </c>
      <c r="D5" s="16" t="s">
        <v>1526</v>
      </c>
      <c r="E5" s="16" t="s">
        <v>1527</v>
      </c>
      <c r="F5" s="17" t="s">
        <v>15</v>
      </c>
      <c r="G5" s="17" t="s">
        <v>1404</v>
      </c>
      <c r="H5" s="17"/>
      <c r="I5" s="16" t="s">
        <v>1528</v>
      </c>
    </row>
    <row r="6" spans="1:9" ht="41.85" customHeight="1" x14ac:dyDescent="0.25">
      <c r="A6" s="18" t="s">
        <v>1529</v>
      </c>
      <c r="B6" s="19" t="s">
        <v>1530</v>
      </c>
      <c r="C6" s="19" t="s">
        <v>1531</v>
      </c>
      <c r="D6" s="19" t="s">
        <v>1532</v>
      </c>
      <c r="E6" s="19" t="s">
        <v>1533</v>
      </c>
      <c r="F6" s="17" t="s">
        <v>15</v>
      </c>
      <c r="G6" s="17" t="s">
        <v>1404</v>
      </c>
      <c r="H6" s="17"/>
      <c r="I6" s="19"/>
    </row>
    <row r="7" spans="1:9" ht="18" customHeight="1" x14ac:dyDescent="0.25">
      <c r="A7" s="25" t="s">
        <v>1534</v>
      </c>
      <c r="B7" s="26"/>
      <c r="C7" s="26"/>
      <c r="D7" s="26"/>
      <c r="E7" s="26"/>
      <c r="F7" s="26"/>
      <c r="G7" s="26"/>
      <c r="H7" s="26"/>
      <c r="I7" s="26"/>
    </row>
    <row r="8" spans="1:9" ht="29.25" customHeight="1" x14ac:dyDescent="0.25">
      <c r="A8" s="15" t="s">
        <v>1535</v>
      </c>
      <c r="B8" s="16" t="s">
        <v>1536</v>
      </c>
      <c r="C8" s="16" t="s">
        <v>1537</v>
      </c>
      <c r="D8" s="16" t="s">
        <v>1538</v>
      </c>
      <c r="E8" s="16" t="s">
        <v>1539</v>
      </c>
      <c r="F8" s="17" t="s">
        <v>15</v>
      </c>
      <c r="G8" s="17" t="s">
        <v>16</v>
      </c>
      <c r="H8" s="17" t="s">
        <v>123</v>
      </c>
      <c r="I8" s="16" t="s">
        <v>1540</v>
      </c>
    </row>
    <row r="9" spans="1:9" ht="29.25" customHeight="1" x14ac:dyDescent="0.25">
      <c r="A9" s="18" t="s">
        <v>1541</v>
      </c>
      <c r="B9" s="19" t="s">
        <v>1542</v>
      </c>
      <c r="C9" s="19" t="s">
        <v>1543</v>
      </c>
      <c r="D9" s="19" t="s">
        <v>1544</v>
      </c>
      <c r="E9" s="19" t="s">
        <v>1545</v>
      </c>
      <c r="F9" s="17" t="s">
        <v>15</v>
      </c>
      <c r="G9" s="17" t="s">
        <v>16</v>
      </c>
      <c r="H9" s="17" t="s">
        <v>123</v>
      </c>
      <c r="I9" s="19" t="s">
        <v>1546</v>
      </c>
    </row>
    <row r="10" spans="1:9" ht="18" customHeight="1" x14ac:dyDescent="0.25">
      <c r="A10" s="25" t="s">
        <v>1547</v>
      </c>
      <c r="B10" s="26"/>
      <c r="C10" s="26"/>
      <c r="D10" s="26"/>
      <c r="E10" s="26"/>
      <c r="F10" s="26"/>
      <c r="G10" s="26"/>
      <c r="H10" s="26"/>
      <c r="I10" s="26"/>
    </row>
    <row r="11" spans="1:9" ht="41.85" customHeight="1" x14ac:dyDescent="0.25">
      <c r="A11" s="15" t="s">
        <v>1548</v>
      </c>
      <c r="B11" s="16" t="s">
        <v>1549</v>
      </c>
      <c r="C11" s="16" t="s">
        <v>1525</v>
      </c>
      <c r="D11" s="16" t="s">
        <v>1550</v>
      </c>
      <c r="E11" s="16" t="s">
        <v>1551</v>
      </c>
      <c r="F11" s="17" t="s">
        <v>15</v>
      </c>
      <c r="G11" s="17" t="s">
        <v>16</v>
      </c>
      <c r="H11" s="17" t="s">
        <v>123</v>
      </c>
      <c r="I11" s="16" t="s">
        <v>1552</v>
      </c>
    </row>
    <row r="12" spans="1:9" ht="29.25" customHeight="1" x14ac:dyDescent="0.25">
      <c r="A12" s="18" t="s">
        <v>1553</v>
      </c>
      <c r="B12" s="19" t="s">
        <v>1554</v>
      </c>
      <c r="C12" s="19" t="s">
        <v>1555</v>
      </c>
      <c r="D12" s="19" t="s">
        <v>1556</v>
      </c>
      <c r="E12" s="19" t="s">
        <v>1557</v>
      </c>
      <c r="F12" s="17" t="s">
        <v>15</v>
      </c>
      <c r="G12" s="17" t="s">
        <v>1404</v>
      </c>
      <c r="H12" s="17"/>
      <c r="I12" s="19"/>
    </row>
    <row r="13" spans="1:9" ht="18" customHeight="1" x14ac:dyDescent="0.25">
      <c r="A13" s="25" t="s">
        <v>1558</v>
      </c>
      <c r="B13" s="26"/>
      <c r="C13" s="26"/>
      <c r="D13" s="26"/>
      <c r="E13" s="26"/>
      <c r="F13" s="26"/>
      <c r="G13" s="26"/>
      <c r="H13" s="26"/>
      <c r="I13" s="26"/>
    </row>
    <row r="14" spans="1:9" ht="41.85" customHeight="1" x14ac:dyDescent="0.25">
      <c r="A14" s="15" t="s">
        <v>1559</v>
      </c>
      <c r="B14" s="16" t="s">
        <v>1560</v>
      </c>
      <c r="C14" s="16" t="s">
        <v>1525</v>
      </c>
      <c r="D14" s="16" t="s">
        <v>1561</v>
      </c>
      <c r="E14" s="16" t="s">
        <v>1562</v>
      </c>
      <c r="F14" s="17" t="s">
        <v>15</v>
      </c>
      <c r="G14" s="17" t="s">
        <v>1404</v>
      </c>
      <c r="H14" s="17"/>
      <c r="I14" s="16"/>
    </row>
    <row r="15" spans="1:9" ht="41.85" customHeight="1" x14ac:dyDescent="0.25">
      <c r="A15" s="18" t="s">
        <v>1563</v>
      </c>
      <c r="B15" s="19" t="s">
        <v>1564</v>
      </c>
      <c r="C15" s="19" t="s">
        <v>1565</v>
      </c>
      <c r="D15" s="19" t="s">
        <v>1566</v>
      </c>
      <c r="E15" s="19" t="s">
        <v>1567</v>
      </c>
      <c r="F15" s="17" t="s">
        <v>15</v>
      </c>
      <c r="G15" s="17" t="s">
        <v>1404</v>
      </c>
      <c r="H15" s="17"/>
      <c r="I15" s="19"/>
    </row>
  </sheetData>
  <mergeCells count="4">
    <mergeCell ref="A10:I10"/>
    <mergeCell ref="A7:I7"/>
    <mergeCell ref="A13:I13"/>
    <mergeCell ref="A2:I2"/>
  </mergeCells>
  <dataValidations count="1">
    <dataValidation type="list" allowBlank="1" sqref="F3:F6 F8:F9 F11:F12 F14:F15" xr:uid="{00000000-0002-0000-0800-000000000000}">
      <formula1>"Pass,Fail,N/A"</formula1>
    </dataValidation>
  </dataValidations>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11"/>
  <sheetViews>
    <sheetView workbookViewId="0">
      <pane ySplit="1" topLeftCell="A2" activePane="bottomLeft" state="frozen"/>
      <selection pane="bottomLeft" activeCell="F11" sqref="F11"/>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1568</v>
      </c>
      <c r="B2" s="26"/>
      <c r="C2" s="26"/>
      <c r="D2" s="26"/>
      <c r="E2" s="26"/>
      <c r="F2" s="26"/>
      <c r="G2" s="26"/>
      <c r="H2" s="26"/>
      <c r="I2" s="26"/>
    </row>
    <row r="3" spans="1:9" ht="41.85" customHeight="1" x14ac:dyDescent="0.25">
      <c r="A3" s="15" t="s">
        <v>1569</v>
      </c>
      <c r="B3" s="16" t="s">
        <v>1570</v>
      </c>
      <c r="C3" s="16" t="s">
        <v>1571</v>
      </c>
      <c r="D3" s="16" t="s">
        <v>1572</v>
      </c>
      <c r="E3" s="16" t="s">
        <v>1573</v>
      </c>
      <c r="F3" s="17" t="s">
        <v>15</v>
      </c>
      <c r="G3" s="17" t="s">
        <v>1404</v>
      </c>
      <c r="H3" s="17"/>
      <c r="I3" s="16"/>
    </row>
    <row r="4" spans="1:9" ht="29.25" customHeight="1" x14ac:dyDescent="0.25">
      <c r="A4" s="18" t="s">
        <v>1574</v>
      </c>
      <c r="B4" s="19" t="s">
        <v>1575</v>
      </c>
      <c r="C4" s="19" t="s">
        <v>1576</v>
      </c>
      <c r="D4" s="19" t="s">
        <v>1577</v>
      </c>
      <c r="E4" s="19" t="s">
        <v>1578</v>
      </c>
      <c r="F4" s="17" t="s">
        <v>15</v>
      </c>
      <c r="G4" s="17" t="s">
        <v>1404</v>
      </c>
      <c r="H4" s="17"/>
      <c r="I4" s="19"/>
    </row>
    <row r="5" spans="1:9" ht="29.25" customHeight="1" x14ac:dyDescent="0.25">
      <c r="A5" s="15" t="s">
        <v>1579</v>
      </c>
      <c r="B5" s="16" t="s">
        <v>1580</v>
      </c>
      <c r="C5" s="16" t="s">
        <v>1576</v>
      </c>
      <c r="D5" s="16" t="s">
        <v>1581</v>
      </c>
      <c r="E5" s="16" t="s">
        <v>1582</v>
      </c>
      <c r="F5" s="17" t="s">
        <v>15</v>
      </c>
      <c r="G5" s="17" t="s">
        <v>1404</v>
      </c>
      <c r="H5" s="17"/>
      <c r="I5" s="16"/>
    </row>
    <row r="6" spans="1:9" ht="29.25" customHeight="1" x14ac:dyDescent="0.25">
      <c r="A6" s="18" t="s">
        <v>1583</v>
      </c>
      <c r="B6" s="19" t="s">
        <v>1584</v>
      </c>
      <c r="C6" s="19" t="s">
        <v>1585</v>
      </c>
      <c r="D6" s="19" t="s">
        <v>1586</v>
      </c>
      <c r="E6" s="19" t="s">
        <v>1587</v>
      </c>
      <c r="F6" s="17" t="s">
        <v>15</v>
      </c>
      <c r="G6" s="17" t="s">
        <v>1404</v>
      </c>
      <c r="H6" s="17"/>
      <c r="I6" s="19"/>
    </row>
    <row r="7" spans="1:9" ht="41.85" customHeight="1" x14ac:dyDescent="0.25">
      <c r="A7" s="15" t="s">
        <v>1588</v>
      </c>
      <c r="B7" s="16" t="s">
        <v>1589</v>
      </c>
      <c r="C7" s="16" t="s">
        <v>1590</v>
      </c>
      <c r="D7" s="16" t="s">
        <v>1591</v>
      </c>
      <c r="E7" s="16" t="s">
        <v>1592</v>
      </c>
      <c r="F7" s="17" t="s">
        <v>15</v>
      </c>
      <c r="G7" s="17" t="s">
        <v>1404</v>
      </c>
      <c r="H7" s="17"/>
      <c r="I7" s="16"/>
    </row>
    <row r="8" spans="1:9" ht="16.7" customHeight="1" x14ac:dyDescent="0.25">
      <c r="A8" s="18" t="s">
        <v>1593</v>
      </c>
      <c r="B8" s="19" t="s">
        <v>1594</v>
      </c>
      <c r="C8" s="19" t="s">
        <v>1585</v>
      </c>
      <c r="D8" s="19" t="s">
        <v>1595</v>
      </c>
      <c r="E8" s="19" t="s">
        <v>1596</v>
      </c>
      <c r="F8" s="17" t="s">
        <v>15</v>
      </c>
      <c r="G8" s="17" t="s">
        <v>1404</v>
      </c>
      <c r="H8" s="17"/>
      <c r="I8" s="19"/>
    </row>
    <row r="9" spans="1:9" ht="18" customHeight="1" x14ac:dyDescent="0.25"/>
    <row r="10" spans="1:9" ht="41.85" customHeight="1" x14ac:dyDescent="0.25"/>
    <row r="11" spans="1:9" ht="29.25" customHeight="1" x14ac:dyDescent="0.25"/>
  </sheetData>
  <mergeCells count="1">
    <mergeCell ref="A2:I2"/>
  </mergeCells>
  <dataValidations count="1">
    <dataValidation type="list" allowBlank="1" sqref="F3:F8 F10:F11" xr:uid="{00000000-0002-0000-0900-000000000000}">
      <formula1>"Pass,Fail,N/A"</formula1>
    </dataValidation>
  </dataValidations>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6"/>
  <sheetViews>
    <sheetView workbookViewId="0">
      <pane ySplit="1" topLeftCell="A29" activePane="bottomLeft" state="frozen"/>
      <selection pane="bottomLeft" activeCell="E19" sqref="E19"/>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1597</v>
      </c>
      <c r="B2" s="26"/>
      <c r="C2" s="26"/>
      <c r="D2" s="26"/>
      <c r="E2" s="26"/>
      <c r="F2" s="26"/>
      <c r="G2" s="26"/>
      <c r="H2" s="26"/>
      <c r="I2" s="26"/>
    </row>
    <row r="3" spans="1:9" ht="54.4" customHeight="1" x14ac:dyDescent="0.25">
      <c r="A3" s="15" t="s">
        <v>1598</v>
      </c>
      <c r="B3" s="16" t="s">
        <v>1599</v>
      </c>
      <c r="C3" s="16" t="s">
        <v>1600</v>
      </c>
      <c r="D3" s="16" t="s">
        <v>1601</v>
      </c>
      <c r="E3" s="16" t="s">
        <v>1602</v>
      </c>
      <c r="F3" s="17" t="s">
        <v>15</v>
      </c>
      <c r="G3" s="17" t="s">
        <v>1404</v>
      </c>
      <c r="H3" s="17"/>
      <c r="I3" s="16" t="s">
        <v>1603</v>
      </c>
    </row>
    <row r="4" spans="1:9" ht="54.4" customHeight="1" x14ac:dyDescent="0.25">
      <c r="A4" s="18" t="s">
        <v>1604</v>
      </c>
      <c r="B4" s="19" t="s">
        <v>1599</v>
      </c>
      <c r="C4" s="19" t="s">
        <v>1605</v>
      </c>
      <c r="D4" s="19" t="s">
        <v>1606</v>
      </c>
      <c r="E4" s="19" t="s">
        <v>1607</v>
      </c>
      <c r="F4" s="17" t="s">
        <v>56</v>
      </c>
      <c r="G4" s="17" t="s">
        <v>1404</v>
      </c>
      <c r="H4" s="17"/>
      <c r="I4" s="19" t="s">
        <v>1608</v>
      </c>
    </row>
    <row r="5" spans="1:9" ht="18" customHeight="1" x14ac:dyDescent="0.25">
      <c r="A5" s="25" t="s">
        <v>1609</v>
      </c>
      <c r="B5" s="26"/>
      <c r="C5" s="26"/>
      <c r="D5" s="26"/>
      <c r="E5" s="26"/>
      <c r="F5" s="26"/>
      <c r="G5" s="26"/>
      <c r="H5" s="26"/>
      <c r="I5" s="26"/>
    </row>
    <row r="6" spans="1:9" ht="66.95" customHeight="1" x14ac:dyDescent="0.25">
      <c r="A6" s="15" t="s">
        <v>1610</v>
      </c>
      <c r="B6" s="16" t="s">
        <v>1611</v>
      </c>
      <c r="C6" s="16" t="s">
        <v>1612</v>
      </c>
      <c r="D6" s="16" t="s">
        <v>1613</v>
      </c>
      <c r="E6" s="16" t="s">
        <v>1614</v>
      </c>
      <c r="F6" s="17" t="s">
        <v>56</v>
      </c>
      <c r="G6" s="17"/>
      <c r="H6" s="17"/>
      <c r="I6" s="16" t="s">
        <v>1615</v>
      </c>
    </row>
    <row r="7" spans="1:9" ht="54.4" customHeight="1" x14ac:dyDescent="0.25">
      <c r="A7" s="18" t="s">
        <v>1616</v>
      </c>
      <c r="B7" s="19" t="s">
        <v>1611</v>
      </c>
      <c r="C7" s="19" t="s">
        <v>1617</v>
      </c>
      <c r="D7" s="19" t="s">
        <v>1618</v>
      </c>
      <c r="E7" s="19" t="s">
        <v>1619</v>
      </c>
      <c r="F7" s="17"/>
      <c r="G7" s="17"/>
      <c r="H7" s="17"/>
      <c r="I7" s="19" t="s">
        <v>1620</v>
      </c>
    </row>
    <row r="8" spans="1:9" ht="18" customHeight="1" x14ac:dyDescent="0.25">
      <c r="A8" s="25" t="s">
        <v>1621</v>
      </c>
      <c r="B8" s="26"/>
      <c r="C8" s="26"/>
      <c r="D8" s="26"/>
      <c r="E8" s="26"/>
      <c r="F8" s="26"/>
      <c r="G8" s="26"/>
      <c r="H8" s="26"/>
      <c r="I8" s="26"/>
    </row>
    <row r="9" spans="1:9" ht="41.85" customHeight="1" x14ac:dyDescent="0.25">
      <c r="A9" s="15" t="s">
        <v>1622</v>
      </c>
      <c r="B9" s="16" t="s">
        <v>1623</v>
      </c>
      <c r="C9" s="16" t="s">
        <v>1624</v>
      </c>
      <c r="D9" s="16" t="s">
        <v>1625</v>
      </c>
      <c r="E9" s="16" t="s">
        <v>1626</v>
      </c>
      <c r="F9" s="17"/>
      <c r="G9" s="17"/>
      <c r="H9" s="17"/>
      <c r="I9" s="16" t="s">
        <v>1627</v>
      </c>
    </row>
    <row r="10" spans="1:9" ht="79.7" customHeight="1" x14ac:dyDescent="0.25">
      <c r="A10" s="18" t="s">
        <v>1628</v>
      </c>
      <c r="B10" s="19" t="s">
        <v>1623</v>
      </c>
      <c r="C10" s="19" t="s">
        <v>1629</v>
      </c>
      <c r="D10" s="19" t="s">
        <v>1630</v>
      </c>
      <c r="E10" s="19" t="s">
        <v>1631</v>
      </c>
      <c r="F10" s="17"/>
      <c r="G10" s="17"/>
      <c r="H10" s="17"/>
      <c r="I10" s="19" t="s">
        <v>1632</v>
      </c>
    </row>
    <row r="11" spans="1:9" ht="18" customHeight="1" x14ac:dyDescent="0.25">
      <c r="A11" s="25" t="s">
        <v>1633</v>
      </c>
      <c r="B11" s="26"/>
      <c r="C11" s="26"/>
      <c r="D11" s="26"/>
      <c r="E11" s="26"/>
      <c r="F11" s="26"/>
      <c r="G11" s="26"/>
      <c r="H11" s="26"/>
      <c r="I11" s="26"/>
    </row>
    <row r="12" spans="1:9" ht="92.25" customHeight="1" x14ac:dyDescent="0.25">
      <c r="A12" s="15" t="s">
        <v>1634</v>
      </c>
      <c r="B12" s="16" t="s">
        <v>1635</v>
      </c>
      <c r="C12" s="16" t="s">
        <v>1636</v>
      </c>
      <c r="D12" s="16" t="s">
        <v>1637</v>
      </c>
      <c r="E12" s="16" t="s">
        <v>1638</v>
      </c>
      <c r="F12" s="17"/>
      <c r="G12" s="17"/>
      <c r="H12" s="17"/>
      <c r="I12" s="16" t="s">
        <v>1639</v>
      </c>
    </row>
    <row r="13" spans="1:9" ht="66.95" customHeight="1" x14ac:dyDescent="0.25">
      <c r="A13" s="18" t="s">
        <v>1640</v>
      </c>
      <c r="B13" s="19" t="s">
        <v>1635</v>
      </c>
      <c r="C13" s="19" t="s">
        <v>1641</v>
      </c>
      <c r="D13" s="19" t="s">
        <v>1642</v>
      </c>
      <c r="E13" s="19" t="s">
        <v>1643</v>
      </c>
      <c r="F13" s="17"/>
      <c r="G13" s="17"/>
      <c r="H13" s="17"/>
      <c r="I13" s="19" t="s">
        <v>1644</v>
      </c>
    </row>
    <row r="14" spans="1:9" ht="18" customHeight="1" x14ac:dyDescent="0.25">
      <c r="A14" s="25" t="s">
        <v>1645</v>
      </c>
      <c r="B14" s="26"/>
      <c r="C14" s="26"/>
      <c r="D14" s="26"/>
      <c r="E14" s="26"/>
      <c r="F14" s="26"/>
      <c r="G14" s="26"/>
      <c r="H14" s="26"/>
      <c r="I14" s="26"/>
    </row>
    <row r="15" spans="1:9" ht="54.4" customHeight="1" x14ac:dyDescent="0.25">
      <c r="A15" s="15" t="s">
        <v>1646</v>
      </c>
      <c r="B15" s="16" t="s">
        <v>1647</v>
      </c>
      <c r="C15" s="16" t="s">
        <v>1648</v>
      </c>
      <c r="D15" s="16" t="s">
        <v>1649</v>
      </c>
      <c r="E15" s="16" t="s">
        <v>1650</v>
      </c>
      <c r="F15" s="17"/>
      <c r="G15" s="17"/>
      <c r="H15" s="17"/>
      <c r="I15" s="16" t="s">
        <v>1651</v>
      </c>
    </row>
    <row r="16" spans="1:9" ht="79.7" customHeight="1" x14ac:dyDescent="0.25">
      <c r="A16" s="18" t="s">
        <v>1652</v>
      </c>
      <c r="B16" s="19" t="s">
        <v>1647</v>
      </c>
      <c r="C16" s="19" t="s">
        <v>1653</v>
      </c>
      <c r="D16" s="19" t="s">
        <v>1654</v>
      </c>
      <c r="E16" s="19" t="s">
        <v>1655</v>
      </c>
      <c r="F16" s="17"/>
      <c r="G16" s="17"/>
      <c r="H16" s="17"/>
      <c r="I16" s="19" t="s">
        <v>1656</v>
      </c>
    </row>
    <row r="17" spans="1:9" ht="54.4" customHeight="1" x14ac:dyDescent="0.25">
      <c r="A17" s="15" t="s">
        <v>1657</v>
      </c>
      <c r="B17" s="16" t="s">
        <v>1647</v>
      </c>
      <c r="C17" s="16" t="s">
        <v>1658</v>
      </c>
      <c r="D17" s="16" t="s">
        <v>1659</v>
      </c>
      <c r="E17" s="16" t="s">
        <v>1660</v>
      </c>
      <c r="F17" s="17"/>
      <c r="G17" s="17"/>
      <c r="H17" s="17"/>
      <c r="I17" s="16" t="s">
        <v>1661</v>
      </c>
    </row>
    <row r="18" spans="1:9" ht="18" customHeight="1" x14ac:dyDescent="0.25">
      <c r="A18" s="25" t="s">
        <v>1662</v>
      </c>
      <c r="B18" s="26"/>
      <c r="C18" s="26"/>
      <c r="D18" s="26"/>
      <c r="E18" s="26"/>
      <c r="F18" s="26"/>
      <c r="G18" s="26"/>
      <c r="H18" s="26"/>
      <c r="I18" s="26"/>
    </row>
    <row r="19" spans="1:9" ht="117.4" customHeight="1" x14ac:dyDescent="0.25">
      <c r="A19" s="15" t="s">
        <v>949</v>
      </c>
      <c r="B19" s="16" t="s">
        <v>1663</v>
      </c>
      <c r="C19" s="16" t="s">
        <v>1664</v>
      </c>
      <c r="D19" s="16" t="s">
        <v>1665</v>
      </c>
      <c r="E19" s="16" t="s">
        <v>1666</v>
      </c>
      <c r="F19" s="17" t="s">
        <v>56</v>
      </c>
      <c r="G19" s="17" t="s">
        <v>16</v>
      </c>
      <c r="H19" s="17"/>
      <c r="I19" s="16" t="s">
        <v>1667</v>
      </c>
    </row>
    <row r="20" spans="1:9" ht="18" customHeight="1" x14ac:dyDescent="0.25">
      <c r="A20" s="25" t="s">
        <v>1668</v>
      </c>
      <c r="B20" s="26"/>
      <c r="C20" s="26"/>
      <c r="D20" s="26"/>
      <c r="E20" s="26"/>
      <c r="F20" s="26"/>
      <c r="G20" s="26"/>
      <c r="H20" s="26"/>
      <c r="I20" s="26"/>
    </row>
    <row r="21" spans="1:9" ht="66.95" customHeight="1" x14ac:dyDescent="0.25">
      <c r="A21" s="15" t="s">
        <v>952</v>
      </c>
      <c r="B21" s="16" t="s">
        <v>1669</v>
      </c>
      <c r="C21" s="16" t="s">
        <v>1664</v>
      </c>
      <c r="D21" s="16" t="s">
        <v>1670</v>
      </c>
      <c r="E21" s="16" t="s">
        <v>1671</v>
      </c>
      <c r="F21" s="17" t="s">
        <v>56</v>
      </c>
      <c r="G21" s="17" t="s">
        <v>16</v>
      </c>
      <c r="H21" s="17"/>
      <c r="I21" s="16" t="s">
        <v>1672</v>
      </c>
    </row>
    <row r="22" spans="1:9" ht="18" customHeight="1" x14ac:dyDescent="0.25">
      <c r="A22" s="25" t="s">
        <v>1673</v>
      </c>
      <c r="B22" s="26"/>
      <c r="C22" s="26"/>
      <c r="D22" s="26"/>
      <c r="E22" s="26"/>
      <c r="F22" s="26"/>
      <c r="G22" s="26"/>
      <c r="H22" s="26"/>
      <c r="I22" s="26"/>
    </row>
    <row r="23" spans="1:9" ht="41.85" customHeight="1" x14ac:dyDescent="0.25">
      <c r="A23" s="15" t="s">
        <v>1674</v>
      </c>
      <c r="B23" s="16" t="s">
        <v>1675</v>
      </c>
      <c r="C23" s="16" t="s">
        <v>1676</v>
      </c>
      <c r="D23" s="16" t="s">
        <v>1677</v>
      </c>
      <c r="E23" s="16" t="s">
        <v>1678</v>
      </c>
      <c r="F23" s="17" t="s">
        <v>15</v>
      </c>
      <c r="G23" s="17" t="s">
        <v>16</v>
      </c>
      <c r="H23" s="17"/>
      <c r="I23" s="16" t="s">
        <v>1679</v>
      </c>
    </row>
    <row r="24" spans="1:9" ht="41.85" customHeight="1" x14ac:dyDescent="0.25">
      <c r="A24" s="18" t="s">
        <v>1680</v>
      </c>
      <c r="B24" s="19" t="s">
        <v>1675</v>
      </c>
      <c r="C24" s="19" t="s">
        <v>1681</v>
      </c>
      <c r="D24" s="19" t="s">
        <v>1682</v>
      </c>
      <c r="E24" s="19" t="s">
        <v>1683</v>
      </c>
      <c r="F24" s="17"/>
      <c r="G24" s="17"/>
      <c r="H24" s="17"/>
      <c r="I24" s="19" t="s">
        <v>1684</v>
      </c>
    </row>
    <row r="25" spans="1:9" ht="18" customHeight="1" x14ac:dyDescent="0.25">
      <c r="A25" s="25" t="s">
        <v>1685</v>
      </c>
      <c r="B25" s="26"/>
      <c r="C25" s="26"/>
      <c r="D25" s="26"/>
      <c r="E25" s="26"/>
      <c r="F25" s="26"/>
      <c r="G25" s="26"/>
      <c r="H25" s="26"/>
      <c r="I25" s="26"/>
    </row>
    <row r="26" spans="1:9" ht="66.95" customHeight="1" x14ac:dyDescent="0.25">
      <c r="A26" s="15" t="s">
        <v>1686</v>
      </c>
      <c r="B26" s="16" t="s">
        <v>1687</v>
      </c>
      <c r="C26" s="16" t="s">
        <v>1676</v>
      </c>
      <c r="D26" s="16" t="s">
        <v>1688</v>
      </c>
      <c r="E26" s="16" t="s">
        <v>1689</v>
      </c>
      <c r="F26" s="17"/>
      <c r="G26" s="17"/>
      <c r="H26" s="17"/>
      <c r="I26" s="16" t="s">
        <v>1690</v>
      </c>
    </row>
    <row r="27" spans="1:9" ht="66.95" customHeight="1" x14ac:dyDescent="0.25">
      <c r="A27" s="18" t="s">
        <v>1691</v>
      </c>
      <c r="B27" s="19" t="s">
        <v>1687</v>
      </c>
      <c r="C27" s="19" t="s">
        <v>1692</v>
      </c>
      <c r="D27" s="19" t="s">
        <v>1693</v>
      </c>
      <c r="E27" s="19" t="s">
        <v>1694</v>
      </c>
      <c r="F27" s="17"/>
      <c r="G27" s="17"/>
      <c r="H27" s="17"/>
      <c r="I27" s="19" t="s">
        <v>1695</v>
      </c>
    </row>
    <row r="28" spans="1:9" ht="18" customHeight="1" x14ac:dyDescent="0.25">
      <c r="A28" s="25" t="s">
        <v>1696</v>
      </c>
      <c r="B28" s="26"/>
      <c r="C28" s="26"/>
      <c r="D28" s="26"/>
      <c r="E28" s="26"/>
      <c r="F28" s="26"/>
      <c r="G28" s="26"/>
      <c r="H28" s="26"/>
      <c r="I28" s="26"/>
    </row>
    <row r="29" spans="1:9" ht="66.95" customHeight="1" x14ac:dyDescent="0.25">
      <c r="A29" s="15" t="s">
        <v>1697</v>
      </c>
      <c r="B29" s="16" t="s">
        <v>1698</v>
      </c>
      <c r="C29" s="16" t="s">
        <v>1699</v>
      </c>
      <c r="D29" s="16" t="s">
        <v>1700</v>
      </c>
      <c r="E29" s="16" t="s">
        <v>1701</v>
      </c>
      <c r="F29" s="17"/>
      <c r="G29" s="17"/>
      <c r="H29" s="17"/>
      <c r="I29" s="16" t="s">
        <v>1702</v>
      </c>
    </row>
    <row r="30" spans="1:9" ht="66.95" customHeight="1" x14ac:dyDescent="0.25">
      <c r="A30" s="18" t="s">
        <v>1703</v>
      </c>
      <c r="B30" s="19" t="s">
        <v>1698</v>
      </c>
      <c r="C30" s="19" t="s">
        <v>1704</v>
      </c>
      <c r="D30" s="19" t="s">
        <v>1705</v>
      </c>
      <c r="E30" s="19" t="s">
        <v>1706</v>
      </c>
      <c r="F30" s="17"/>
      <c r="G30" s="17"/>
      <c r="H30" s="17"/>
      <c r="I30" s="19" t="s">
        <v>1707</v>
      </c>
    </row>
    <row r="31" spans="1:9" ht="18" customHeight="1" x14ac:dyDescent="0.25">
      <c r="A31" s="25" t="s">
        <v>1708</v>
      </c>
      <c r="B31" s="26"/>
      <c r="C31" s="26"/>
      <c r="D31" s="26"/>
      <c r="E31" s="26"/>
      <c r="F31" s="26"/>
      <c r="G31" s="26"/>
      <c r="H31" s="26"/>
      <c r="I31" s="26"/>
    </row>
    <row r="32" spans="1:9" ht="66.95" customHeight="1" x14ac:dyDescent="0.25">
      <c r="A32" s="15" t="s">
        <v>1709</v>
      </c>
      <c r="B32" s="16" t="s">
        <v>1710</v>
      </c>
      <c r="C32" s="16" t="s">
        <v>1711</v>
      </c>
      <c r="D32" s="16" t="s">
        <v>1712</v>
      </c>
      <c r="E32" s="16" t="s">
        <v>1713</v>
      </c>
      <c r="F32" s="17"/>
      <c r="G32" s="17"/>
      <c r="H32" s="17"/>
      <c r="I32" s="16" t="s">
        <v>1714</v>
      </c>
    </row>
    <row r="33" spans="1:9" ht="41.85" customHeight="1" x14ac:dyDescent="0.25">
      <c r="A33" s="18" t="s">
        <v>1715</v>
      </c>
      <c r="B33" s="19" t="s">
        <v>1710</v>
      </c>
      <c r="C33" s="19" t="s">
        <v>1711</v>
      </c>
      <c r="D33" s="19" t="s">
        <v>1716</v>
      </c>
      <c r="E33" s="19" t="s">
        <v>1717</v>
      </c>
      <c r="F33" s="17"/>
      <c r="G33" s="17"/>
      <c r="H33" s="17"/>
      <c r="I33" s="19" t="s">
        <v>1718</v>
      </c>
    </row>
    <row r="34" spans="1:9" ht="18" customHeight="1" x14ac:dyDescent="0.25">
      <c r="A34" s="25" t="s">
        <v>1719</v>
      </c>
      <c r="B34" s="26"/>
      <c r="C34" s="26"/>
      <c r="D34" s="26"/>
      <c r="E34" s="26"/>
      <c r="F34" s="26"/>
      <c r="G34" s="26"/>
      <c r="H34" s="26"/>
      <c r="I34" s="26"/>
    </row>
    <row r="35" spans="1:9" ht="54.4" customHeight="1" x14ac:dyDescent="0.25">
      <c r="A35" s="15" t="s">
        <v>1720</v>
      </c>
      <c r="B35" s="16" t="s">
        <v>1721</v>
      </c>
      <c r="C35" s="16" t="s">
        <v>1722</v>
      </c>
      <c r="D35" s="16" t="s">
        <v>1723</v>
      </c>
      <c r="E35" s="16" t="s">
        <v>1724</v>
      </c>
      <c r="F35" s="17" t="s">
        <v>56</v>
      </c>
      <c r="G35" s="17" t="s">
        <v>16</v>
      </c>
      <c r="H35" s="17"/>
      <c r="I35" s="16" t="s">
        <v>1725</v>
      </c>
    </row>
    <row r="36" spans="1:9" ht="79.7" customHeight="1" x14ac:dyDescent="0.25">
      <c r="A36" s="18" t="s">
        <v>1726</v>
      </c>
      <c r="B36" s="19" t="s">
        <v>1721</v>
      </c>
      <c r="C36" s="19" t="s">
        <v>1727</v>
      </c>
      <c r="D36" s="19" t="s">
        <v>1728</v>
      </c>
      <c r="E36" s="19" t="s">
        <v>1729</v>
      </c>
      <c r="F36" s="17" t="s">
        <v>56</v>
      </c>
      <c r="G36" s="17" t="s">
        <v>16</v>
      </c>
      <c r="H36" s="17"/>
      <c r="I36" s="19" t="s">
        <v>1730</v>
      </c>
    </row>
  </sheetData>
  <mergeCells count="12">
    <mergeCell ref="A31:I31"/>
    <mergeCell ref="A22:I22"/>
    <mergeCell ref="A34:I34"/>
    <mergeCell ref="A20:I20"/>
    <mergeCell ref="A25:I25"/>
    <mergeCell ref="A2:I2"/>
    <mergeCell ref="A11:I11"/>
    <mergeCell ref="A28:I28"/>
    <mergeCell ref="A5:I5"/>
    <mergeCell ref="A14:I14"/>
    <mergeCell ref="A18:I18"/>
    <mergeCell ref="A8:I8"/>
  </mergeCells>
  <dataValidations count="1">
    <dataValidation type="list" allowBlank="1" sqref="F3:F4 F6:F7 F9:F10 F12:F13 F15:F17 F19 F21 F23:F24 F26:F27 F29:F30 F32:F33 F35:F36" xr:uid="{00000000-0002-0000-0A00-000000000000}">
      <formula1>"Pass,Fail,N/A"</formula1>
    </dataValidation>
  </dataValidation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0"/>
  <sheetViews>
    <sheetView workbookViewId="0">
      <pane ySplit="1" topLeftCell="A20" activePane="bottomLeft" state="frozen"/>
      <selection pane="bottomLeft" activeCell="G30" sqref="G30"/>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1731</v>
      </c>
      <c r="B2" s="26"/>
      <c r="C2" s="26"/>
      <c r="D2" s="26"/>
      <c r="E2" s="26"/>
      <c r="F2" s="26"/>
      <c r="G2" s="26"/>
      <c r="H2" s="26"/>
      <c r="I2" s="26"/>
    </row>
    <row r="3" spans="1:9" ht="41.85" customHeight="1" x14ac:dyDescent="0.25">
      <c r="A3" s="15" t="s">
        <v>1732</v>
      </c>
      <c r="B3" s="16" t="s">
        <v>1733</v>
      </c>
      <c r="C3" s="16" t="s">
        <v>1734</v>
      </c>
      <c r="D3" s="16" t="s">
        <v>1735</v>
      </c>
      <c r="E3" s="16" t="s">
        <v>1736</v>
      </c>
      <c r="F3" s="17" t="s">
        <v>15</v>
      </c>
      <c r="G3" s="17" t="s">
        <v>1404</v>
      </c>
      <c r="H3" s="17"/>
      <c r="I3" s="16"/>
    </row>
    <row r="4" spans="1:9" ht="29.25" customHeight="1" x14ac:dyDescent="0.25">
      <c r="A4" s="18" t="s">
        <v>1737</v>
      </c>
      <c r="B4" s="19" t="s">
        <v>1738</v>
      </c>
      <c r="C4" s="19" t="s">
        <v>1739</v>
      </c>
      <c r="D4" s="19" t="s">
        <v>1740</v>
      </c>
      <c r="E4" s="19" t="s">
        <v>1741</v>
      </c>
      <c r="F4" s="17" t="s">
        <v>15</v>
      </c>
      <c r="G4" s="17" t="s">
        <v>16</v>
      </c>
      <c r="H4" s="17" t="s">
        <v>123</v>
      </c>
      <c r="I4" s="19" t="s">
        <v>1742</v>
      </c>
    </row>
    <row r="5" spans="1:9" ht="18" customHeight="1" x14ac:dyDescent="0.25">
      <c r="A5" s="25" t="s">
        <v>1743</v>
      </c>
      <c r="B5" s="26"/>
      <c r="C5" s="26"/>
      <c r="D5" s="26"/>
      <c r="E5" s="26"/>
      <c r="F5" s="26"/>
      <c r="G5" s="26"/>
      <c r="H5" s="26"/>
      <c r="I5" s="26"/>
    </row>
    <row r="6" spans="1:9" ht="41.85" customHeight="1" x14ac:dyDescent="0.25">
      <c r="A6" s="15" t="s">
        <v>1744</v>
      </c>
      <c r="B6" s="16" t="s">
        <v>1745</v>
      </c>
      <c r="C6" s="16" t="s">
        <v>1746</v>
      </c>
      <c r="D6" s="16" t="s">
        <v>1747</v>
      </c>
      <c r="E6" s="16" t="s">
        <v>1748</v>
      </c>
      <c r="F6" s="17" t="s">
        <v>15</v>
      </c>
      <c r="G6" s="17" t="s">
        <v>1404</v>
      </c>
      <c r="H6" s="17"/>
      <c r="I6" s="16"/>
    </row>
    <row r="7" spans="1:9" ht="29.25" customHeight="1" x14ac:dyDescent="0.25">
      <c r="A7" s="18" t="s">
        <v>1749</v>
      </c>
      <c r="B7" s="19" t="s">
        <v>1750</v>
      </c>
      <c r="C7" s="19" t="s">
        <v>1751</v>
      </c>
      <c r="D7" s="19" t="s">
        <v>1752</v>
      </c>
      <c r="E7" s="19" t="s">
        <v>1753</v>
      </c>
      <c r="F7" s="17" t="s">
        <v>15</v>
      </c>
      <c r="G7" s="17" t="s">
        <v>1404</v>
      </c>
      <c r="H7" s="17"/>
      <c r="I7" s="19"/>
    </row>
    <row r="8" spans="1:9" ht="18" customHeight="1" x14ac:dyDescent="0.25">
      <c r="A8" s="25" t="s">
        <v>1754</v>
      </c>
      <c r="B8" s="26"/>
      <c r="C8" s="26"/>
      <c r="D8" s="26"/>
      <c r="E8" s="26"/>
      <c r="F8" s="26"/>
      <c r="G8" s="26"/>
      <c r="H8" s="26"/>
      <c r="I8" s="26"/>
    </row>
    <row r="9" spans="1:9" ht="41.85" customHeight="1" x14ac:dyDescent="0.25">
      <c r="A9" s="15" t="s">
        <v>1755</v>
      </c>
      <c r="B9" s="16" t="s">
        <v>1756</v>
      </c>
      <c r="C9" s="16" t="s">
        <v>1757</v>
      </c>
      <c r="D9" s="16" t="s">
        <v>1758</v>
      </c>
      <c r="E9" s="16" t="s">
        <v>1759</v>
      </c>
      <c r="F9" s="17"/>
      <c r="G9" s="17"/>
      <c r="H9" s="17"/>
      <c r="I9" s="16" t="s">
        <v>1760</v>
      </c>
    </row>
    <row r="10" spans="1:9" ht="41.85" customHeight="1" x14ac:dyDescent="0.25">
      <c r="A10" s="18" t="s">
        <v>1761</v>
      </c>
      <c r="B10" s="19" t="s">
        <v>1762</v>
      </c>
      <c r="C10" s="19" t="s">
        <v>1763</v>
      </c>
      <c r="D10" s="19" t="s">
        <v>1764</v>
      </c>
      <c r="E10" s="19" t="s">
        <v>1765</v>
      </c>
      <c r="F10" s="17" t="s">
        <v>15</v>
      </c>
      <c r="G10" s="17" t="s">
        <v>16</v>
      </c>
      <c r="H10" s="17" t="s">
        <v>123</v>
      </c>
      <c r="I10" s="19" t="s">
        <v>1766</v>
      </c>
    </row>
    <row r="11" spans="1:9" ht="18" customHeight="1" x14ac:dyDescent="0.25">
      <c r="A11" s="25" t="s">
        <v>1767</v>
      </c>
      <c r="B11" s="26"/>
      <c r="C11" s="26"/>
      <c r="D11" s="26"/>
      <c r="E11" s="26"/>
      <c r="F11" s="26"/>
      <c r="G11" s="26"/>
      <c r="H11" s="26"/>
      <c r="I11" s="26"/>
    </row>
    <row r="12" spans="1:9" ht="41.85" customHeight="1" x14ac:dyDescent="0.25">
      <c r="A12" s="15" t="s">
        <v>491</v>
      </c>
      <c r="B12" s="16" t="s">
        <v>1768</v>
      </c>
      <c r="C12" s="16" t="s">
        <v>1769</v>
      </c>
      <c r="D12" s="16" t="s">
        <v>1770</v>
      </c>
      <c r="E12" s="16" t="s">
        <v>1771</v>
      </c>
      <c r="F12" s="17" t="s">
        <v>269</v>
      </c>
      <c r="G12" s="17" t="s">
        <v>16</v>
      </c>
      <c r="H12" s="17" t="s">
        <v>123</v>
      </c>
      <c r="I12" s="16" t="s">
        <v>1772</v>
      </c>
    </row>
    <row r="13" spans="1:9" ht="18" customHeight="1" x14ac:dyDescent="0.25">
      <c r="A13" s="25" t="s">
        <v>1773</v>
      </c>
      <c r="B13" s="26"/>
      <c r="C13" s="26"/>
      <c r="D13" s="26"/>
      <c r="E13" s="26"/>
      <c r="F13" s="26"/>
      <c r="G13" s="26"/>
      <c r="H13" s="26"/>
      <c r="I13" s="26"/>
    </row>
    <row r="14" spans="1:9" ht="41.85" customHeight="1" x14ac:dyDescent="0.25">
      <c r="A14" s="15" t="s">
        <v>1774</v>
      </c>
      <c r="B14" s="16" t="s">
        <v>1775</v>
      </c>
      <c r="C14" s="16" t="s">
        <v>1776</v>
      </c>
      <c r="D14" s="16" t="s">
        <v>1777</v>
      </c>
      <c r="E14" s="16" t="s">
        <v>1778</v>
      </c>
      <c r="F14" s="17"/>
      <c r="G14" s="17"/>
      <c r="H14" s="17"/>
      <c r="I14" s="16" t="s">
        <v>1779</v>
      </c>
    </row>
    <row r="15" spans="1:9" ht="41.85" customHeight="1" x14ac:dyDescent="0.25">
      <c r="A15" s="18" t="s">
        <v>1780</v>
      </c>
      <c r="B15" s="19" t="s">
        <v>1781</v>
      </c>
      <c r="C15" s="19" t="s">
        <v>1782</v>
      </c>
      <c r="D15" s="19" t="s">
        <v>1783</v>
      </c>
      <c r="E15" s="19" t="s">
        <v>1784</v>
      </c>
      <c r="F15" s="17" t="s">
        <v>15</v>
      </c>
      <c r="G15" s="17" t="s">
        <v>16</v>
      </c>
      <c r="H15" s="17" t="s">
        <v>1785</v>
      </c>
      <c r="I15" s="19" t="s">
        <v>1786</v>
      </c>
    </row>
    <row r="16" spans="1:9" ht="18" customHeight="1" x14ac:dyDescent="0.25">
      <c r="A16" s="25" t="s">
        <v>1787</v>
      </c>
      <c r="B16" s="26"/>
      <c r="C16" s="26"/>
      <c r="D16" s="26"/>
      <c r="E16" s="26"/>
      <c r="F16" s="26"/>
      <c r="G16" s="26"/>
      <c r="H16" s="26"/>
      <c r="I16" s="26"/>
    </row>
    <row r="17" spans="1:9" ht="54.4" customHeight="1" x14ac:dyDescent="0.25">
      <c r="A17" s="15" t="s">
        <v>1788</v>
      </c>
      <c r="B17" s="16" t="s">
        <v>1789</v>
      </c>
      <c r="C17" s="16" t="s">
        <v>1790</v>
      </c>
      <c r="D17" s="16" t="s">
        <v>1791</v>
      </c>
      <c r="E17" s="16" t="s">
        <v>1792</v>
      </c>
      <c r="F17" s="17" t="s">
        <v>15</v>
      </c>
      <c r="G17" s="17" t="s">
        <v>16</v>
      </c>
      <c r="H17" s="17"/>
      <c r="I17" s="16" t="s">
        <v>1793</v>
      </c>
    </row>
    <row r="18" spans="1:9" ht="41.85" customHeight="1" x14ac:dyDescent="0.25">
      <c r="A18" s="18" t="s">
        <v>1794</v>
      </c>
      <c r="B18" s="19" t="s">
        <v>1795</v>
      </c>
      <c r="C18" s="19" t="s">
        <v>1796</v>
      </c>
      <c r="D18" s="19" t="s">
        <v>1797</v>
      </c>
      <c r="E18" s="19" t="s">
        <v>1798</v>
      </c>
      <c r="F18" s="17"/>
      <c r="G18" s="17"/>
      <c r="H18" s="17"/>
      <c r="I18" s="19" t="s">
        <v>1799</v>
      </c>
    </row>
    <row r="19" spans="1:9" ht="18" customHeight="1" x14ac:dyDescent="0.25">
      <c r="A19" s="25" t="s">
        <v>1800</v>
      </c>
      <c r="B19" s="26"/>
      <c r="C19" s="26"/>
      <c r="D19" s="26"/>
      <c r="E19" s="26"/>
      <c r="F19" s="26"/>
      <c r="G19" s="26"/>
      <c r="H19" s="26"/>
      <c r="I19" s="26"/>
    </row>
    <row r="20" spans="1:9" ht="54.4" customHeight="1" x14ac:dyDescent="0.25">
      <c r="A20" s="15" t="s">
        <v>1801</v>
      </c>
      <c r="B20" s="16" t="s">
        <v>1802</v>
      </c>
      <c r="C20" s="16" t="s">
        <v>1803</v>
      </c>
      <c r="D20" s="16" t="s">
        <v>1804</v>
      </c>
      <c r="E20" s="16" t="s">
        <v>1805</v>
      </c>
      <c r="F20" s="17" t="s">
        <v>15</v>
      </c>
      <c r="G20" s="17" t="s">
        <v>16</v>
      </c>
      <c r="H20" s="17" t="s">
        <v>123</v>
      </c>
      <c r="I20" s="16" t="s">
        <v>1806</v>
      </c>
    </row>
    <row r="21" spans="1:9" ht="41.85" customHeight="1" x14ac:dyDescent="0.25">
      <c r="A21" s="15" t="s">
        <v>1807</v>
      </c>
      <c r="B21" s="16" t="s">
        <v>1808</v>
      </c>
      <c r="C21" s="16" t="s">
        <v>1809</v>
      </c>
      <c r="D21" s="16" t="s">
        <v>1810</v>
      </c>
      <c r="E21" s="16" t="s">
        <v>1811</v>
      </c>
      <c r="F21" s="17" t="s">
        <v>15</v>
      </c>
      <c r="G21" s="17" t="s">
        <v>16</v>
      </c>
      <c r="H21" s="17"/>
      <c r="I21" s="16" t="s">
        <v>1812</v>
      </c>
    </row>
    <row r="22" spans="1:9" ht="29.25" customHeight="1" x14ac:dyDescent="0.25">
      <c r="A22" s="25" t="s">
        <v>1813</v>
      </c>
      <c r="B22" s="26"/>
      <c r="C22" s="26"/>
      <c r="D22" s="26"/>
      <c r="E22" s="26"/>
      <c r="F22" s="26"/>
      <c r="G22" s="26"/>
      <c r="H22" s="26"/>
      <c r="I22" s="26"/>
    </row>
    <row r="23" spans="1:9" ht="18" customHeight="1" x14ac:dyDescent="0.25">
      <c r="A23" s="15" t="s">
        <v>505</v>
      </c>
      <c r="B23" s="16" t="s">
        <v>1814</v>
      </c>
      <c r="C23" s="16" t="s">
        <v>1815</v>
      </c>
      <c r="D23" s="16" t="s">
        <v>1816</v>
      </c>
      <c r="E23" s="16" t="s">
        <v>1817</v>
      </c>
      <c r="F23" s="17"/>
      <c r="G23" s="17"/>
      <c r="H23" s="17"/>
      <c r="I23" s="16" t="s">
        <v>1818</v>
      </c>
    </row>
    <row r="24" spans="1:9" ht="54.4" customHeight="1" x14ac:dyDescent="0.25">
      <c r="A24" s="25" t="s">
        <v>1819</v>
      </c>
      <c r="B24" s="26"/>
      <c r="C24" s="26"/>
      <c r="D24" s="26"/>
      <c r="E24" s="26"/>
      <c r="F24" s="26"/>
      <c r="G24" s="26"/>
      <c r="H24" s="26"/>
      <c r="I24" s="26"/>
    </row>
    <row r="25" spans="1:9" ht="18" customHeight="1" x14ac:dyDescent="0.25">
      <c r="A25" s="15" t="s">
        <v>1820</v>
      </c>
      <c r="B25" s="16" t="s">
        <v>1821</v>
      </c>
      <c r="C25" s="16" t="s">
        <v>1822</v>
      </c>
      <c r="D25" s="16" t="s">
        <v>1823</v>
      </c>
      <c r="E25" s="16" t="s">
        <v>1824</v>
      </c>
      <c r="F25" s="17" t="s">
        <v>269</v>
      </c>
      <c r="G25" s="17" t="s">
        <v>16</v>
      </c>
      <c r="H25" s="17" t="s">
        <v>123</v>
      </c>
      <c r="I25" s="16" t="s">
        <v>1825</v>
      </c>
    </row>
    <row r="26" spans="1:9" ht="54.4" customHeight="1" x14ac:dyDescent="0.25">
      <c r="A26" s="18" t="s">
        <v>1826</v>
      </c>
      <c r="B26" s="19" t="s">
        <v>1827</v>
      </c>
      <c r="C26" s="19" t="s">
        <v>1828</v>
      </c>
      <c r="D26" s="19" t="s">
        <v>1829</v>
      </c>
      <c r="E26" s="19" t="s">
        <v>1830</v>
      </c>
      <c r="F26" s="17" t="s">
        <v>15</v>
      </c>
      <c r="G26" s="17" t="s">
        <v>16</v>
      </c>
      <c r="H26" s="17" t="s">
        <v>123</v>
      </c>
      <c r="I26" s="19" t="s">
        <v>1831</v>
      </c>
    </row>
    <row r="27" spans="1:9" ht="41.85" customHeight="1" x14ac:dyDescent="0.25">
      <c r="A27" s="25" t="s">
        <v>1832</v>
      </c>
      <c r="B27" s="26"/>
      <c r="C27" s="26"/>
      <c r="D27" s="26"/>
      <c r="E27" s="26"/>
      <c r="F27" s="26"/>
      <c r="G27" s="26"/>
      <c r="H27" s="26"/>
      <c r="I27" s="26"/>
    </row>
    <row r="28" spans="1:9" ht="18" customHeight="1" x14ac:dyDescent="0.25">
      <c r="A28" s="15" t="s">
        <v>1833</v>
      </c>
      <c r="B28" s="16" t="s">
        <v>1834</v>
      </c>
      <c r="C28" s="16" t="s">
        <v>1835</v>
      </c>
      <c r="D28" s="16" t="s">
        <v>1836</v>
      </c>
      <c r="E28" s="16" t="s">
        <v>1837</v>
      </c>
      <c r="F28" s="17" t="s">
        <v>15</v>
      </c>
      <c r="G28" s="17" t="s">
        <v>1404</v>
      </c>
      <c r="H28" s="17"/>
      <c r="I28" s="16"/>
    </row>
    <row r="29" spans="1:9" ht="41.85" customHeight="1" x14ac:dyDescent="0.25">
      <c r="A29" s="18" t="s">
        <v>1838</v>
      </c>
      <c r="B29" s="19" t="s">
        <v>1839</v>
      </c>
      <c r="C29" s="19" t="s">
        <v>1840</v>
      </c>
      <c r="D29" s="19" t="s">
        <v>1841</v>
      </c>
      <c r="E29" s="19" t="s">
        <v>1842</v>
      </c>
      <c r="F29" s="17" t="s">
        <v>15</v>
      </c>
      <c r="G29" s="17" t="s">
        <v>1404</v>
      </c>
      <c r="H29" s="17"/>
      <c r="I29" s="19"/>
    </row>
    <row r="30" spans="1:9" ht="41.85" customHeight="1" x14ac:dyDescent="0.25"/>
  </sheetData>
  <mergeCells count="10">
    <mergeCell ref="A27:I27"/>
    <mergeCell ref="A8:I8"/>
    <mergeCell ref="A22:I22"/>
    <mergeCell ref="A24:I24"/>
    <mergeCell ref="A16:I16"/>
    <mergeCell ref="A2:I2"/>
    <mergeCell ref="A19:I19"/>
    <mergeCell ref="A11:I11"/>
    <mergeCell ref="A5:I5"/>
    <mergeCell ref="A13:I13"/>
  </mergeCells>
  <dataValidations count="1">
    <dataValidation type="list" allowBlank="1" sqref="F3:F4 F6:F7 F9:F10 F12 F14:F15 F17:F18 F20:F22 F24 F26:F27 F29:F30" xr:uid="{00000000-0002-0000-0B00-000000000000}">
      <formula1>"Pass,Fail,N/A"</formula1>
    </dataValidation>
  </dataValidations>
  <pageMargins left="0.7" right="0.7" top="0.75" bottom="0.75" header="0.3" footer="0.3"/>
  <pageSetup orientation="portrait" horizontalDpi="4294967295" verticalDpi="429496729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6"/>
  <sheetViews>
    <sheetView workbookViewId="0">
      <pane ySplit="1" topLeftCell="A14" activePane="bottomLeft" state="frozen"/>
      <selection pane="bottomLeft" activeCell="F28" sqref="F28"/>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1843</v>
      </c>
      <c r="B2" s="26"/>
      <c r="C2" s="26"/>
      <c r="D2" s="26"/>
      <c r="E2" s="26"/>
      <c r="F2" s="26"/>
      <c r="G2" s="26"/>
      <c r="H2" s="26"/>
      <c r="I2" s="26"/>
    </row>
    <row r="3" spans="1:9" ht="54.4" customHeight="1" x14ac:dyDescent="0.25">
      <c r="A3" s="15" t="s">
        <v>1844</v>
      </c>
      <c r="B3" s="16" t="s">
        <v>1845</v>
      </c>
      <c r="C3" s="16" t="s">
        <v>1846</v>
      </c>
      <c r="D3" s="16" t="s">
        <v>1847</v>
      </c>
      <c r="E3" s="16" t="s">
        <v>1848</v>
      </c>
      <c r="F3" s="17" t="s">
        <v>15</v>
      </c>
      <c r="G3" s="17" t="s">
        <v>1404</v>
      </c>
      <c r="H3" s="17"/>
      <c r="I3" s="16"/>
    </row>
    <row r="4" spans="1:9" ht="41.85" customHeight="1" x14ac:dyDescent="0.25">
      <c r="A4" s="18" t="s">
        <v>1849</v>
      </c>
      <c r="B4" s="19" t="s">
        <v>1850</v>
      </c>
      <c r="C4" s="19" t="s">
        <v>1851</v>
      </c>
      <c r="D4" s="19" t="s">
        <v>1852</v>
      </c>
      <c r="E4" s="19" t="s">
        <v>1853</v>
      </c>
      <c r="F4" s="17" t="s">
        <v>15</v>
      </c>
      <c r="G4" s="17" t="s">
        <v>1404</v>
      </c>
      <c r="H4" s="17"/>
      <c r="I4" s="19"/>
    </row>
    <row r="5" spans="1:9" ht="41.85" customHeight="1" x14ac:dyDescent="0.25">
      <c r="A5" s="18" t="s">
        <v>1854</v>
      </c>
      <c r="B5" s="19" t="s">
        <v>1855</v>
      </c>
      <c r="C5" s="19" t="s">
        <v>1856</v>
      </c>
      <c r="D5" s="19" t="s">
        <v>1857</v>
      </c>
      <c r="E5" s="19" t="s">
        <v>1858</v>
      </c>
      <c r="F5" s="17" t="s">
        <v>15</v>
      </c>
      <c r="G5" s="17" t="s">
        <v>16</v>
      </c>
      <c r="H5" s="17" t="s">
        <v>123</v>
      </c>
      <c r="I5" s="19" t="s">
        <v>1859</v>
      </c>
    </row>
    <row r="6" spans="1:9" ht="41.85" customHeight="1" x14ac:dyDescent="0.25">
      <c r="A6" s="25" t="s">
        <v>1860</v>
      </c>
      <c r="B6" s="26"/>
      <c r="C6" s="26"/>
      <c r="D6" s="26"/>
      <c r="E6" s="26"/>
      <c r="F6" s="26"/>
      <c r="G6" s="26"/>
      <c r="H6" s="26"/>
      <c r="I6" s="26"/>
    </row>
    <row r="7" spans="1:9" ht="18" customHeight="1" x14ac:dyDescent="0.25">
      <c r="A7" s="15" t="s">
        <v>1861</v>
      </c>
      <c r="B7" s="16" t="s">
        <v>1862</v>
      </c>
      <c r="C7" s="16" t="s">
        <v>1757</v>
      </c>
      <c r="D7" s="16" t="s">
        <v>1863</v>
      </c>
      <c r="E7" s="16" t="s">
        <v>1864</v>
      </c>
      <c r="F7" s="17" t="s">
        <v>15</v>
      </c>
      <c r="G7" s="17" t="s">
        <v>1404</v>
      </c>
      <c r="H7" s="17"/>
      <c r="I7" s="16"/>
    </row>
    <row r="8" spans="1:9" ht="54.4" customHeight="1" x14ac:dyDescent="0.25">
      <c r="A8" s="18" t="s">
        <v>1865</v>
      </c>
      <c r="B8" s="19" t="s">
        <v>1866</v>
      </c>
      <c r="C8" s="19" t="s">
        <v>1867</v>
      </c>
      <c r="D8" s="19" t="s">
        <v>1868</v>
      </c>
      <c r="E8" s="19" t="s">
        <v>1869</v>
      </c>
      <c r="F8" s="17" t="s">
        <v>15</v>
      </c>
      <c r="G8" s="17" t="s">
        <v>1404</v>
      </c>
      <c r="H8" s="17"/>
      <c r="I8" s="19"/>
    </row>
    <row r="9" spans="1:9" ht="66.95" customHeight="1" x14ac:dyDescent="0.25">
      <c r="A9" s="15" t="s">
        <v>1870</v>
      </c>
      <c r="B9" s="16" t="s">
        <v>1871</v>
      </c>
      <c r="C9" s="16" t="s">
        <v>1872</v>
      </c>
      <c r="D9" s="16" t="s">
        <v>1873</v>
      </c>
      <c r="E9" s="16" t="s">
        <v>1874</v>
      </c>
      <c r="F9" s="17" t="s">
        <v>15</v>
      </c>
      <c r="G9" s="17" t="s">
        <v>1404</v>
      </c>
      <c r="H9" s="17"/>
      <c r="I9" s="16"/>
    </row>
    <row r="10" spans="1:9" ht="29.25" customHeight="1" x14ac:dyDescent="0.25">
      <c r="A10" s="25" t="s">
        <v>1875</v>
      </c>
      <c r="B10" s="26"/>
      <c r="C10" s="26"/>
      <c r="D10" s="26"/>
      <c r="E10" s="26"/>
      <c r="F10" s="26"/>
      <c r="G10" s="26"/>
      <c r="H10" s="26"/>
      <c r="I10" s="26"/>
    </row>
    <row r="11" spans="1:9" ht="18" customHeight="1" x14ac:dyDescent="0.25">
      <c r="A11" s="15" t="s">
        <v>1876</v>
      </c>
      <c r="B11" s="16" t="s">
        <v>1877</v>
      </c>
      <c r="C11" s="16" t="s">
        <v>1878</v>
      </c>
      <c r="D11" s="16" t="s">
        <v>1879</v>
      </c>
      <c r="E11" s="16" t="s">
        <v>1880</v>
      </c>
      <c r="F11" s="17" t="s">
        <v>15</v>
      </c>
      <c r="G11" s="17" t="s">
        <v>1404</v>
      </c>
      <c r="H11" s="17"/>
      <c r="I11" s="16"/>
    </row>
    <row r="12" spans="1:9" ht="54.4" customHeight="1" x14ac:dyDescent="0.25">
      <c r="A12" s="18" t="s">
        <v>1881</v>
      </c>
      <c r="B12" s="19" t="s">
        <v>1882</v>
      </c>
      <c r="C12" s="19" t="s">
        <v>1846</v>
      </c>
      <c r="D12" s="19" t="s">
        <v>1883</v>
      </c>
      <c r="E12" s="19" t="s">
        <v>1884</v>
      </c>
      <c r="F12" s="17" t="s">
        <v>15</v>
      </c>
      <c r="G12" s="17" t="s">
        <v>1404</v>
      </c>
      <c r="H12" s="17"/>
      <c r="I12" s="19"/>
    </row>
    <row r="13" spans="1:9" ht="41.85" customHeight="1" x14ac:dyDescent="0.25">
      <c r="A13" s="25" t="s">
        <v>1885</v>
      </c>
      <c r="B13" s="26"/>
      <c r="C13" s="26"/>
      <c r="D13" s="26"/>
      <c r="E13" s="26"/>
      <c r="F13" s="26"/>
      <c r="G13" s="26"/>
      <c r="H13" s="26"/>
      <c r="I13" s="26"/>
    </row>
    <row r="14" spans="1:9" ht="18" customHeight="1" x14ac:dyDescent="0.25">
      <c r="A14" s="15" t="s">
        <v>1886</v>
      </c>
      <c r="B14" s="16" t="s">
        <v>1887</v>
      </c>
      <c r="C14" s="16" t="s">
        <v>1888</v>
      </c>
      <c r="D14" s="16" t="s">
        <v>1889</v>
      </c>
      <c r="E14" s="16" t="s">
        <v>1890</v>
      </c>
      <c r="F14" s="17" t="s">
        <v>15</v>
      </c>
      <c r="G14" s="17" t="s">
        <v>1404</v>
      </c>
      <c r="H14" s="17"/>
      <c r="I14" s="16"/>
    </row>
    <row r="15" spans="1:9" ht="41.85" customHeight="1" x14ac:dyDescent="0.25">
      <c r="A15" s="18" t="s">
        <v>1891</v>
      </c>
      <c r="B15" s="19" t="s">
        <v>1892</v>
      </c>
      <c r="C15" s="19" t="s">
        <v>1893</v>
      </c>
      <c r="D15" s="19" t="s">
        <v>1894</v>
      </c>
      <c r="E15" s="19" t="s">
        <v>1895</v>
      </c>
      <c r="F15" s="17" t="s">
        <v>15</v>
      </c>
      <c r="G15" s="17" t="s">
        <v>1404</v>
      </c>
      <c r="H15" s="17"/>
      <c r="I15" s="19"/>
    </row>
    <row r="16" spans="1:9" ht="54.4" customHeight="1" x14ac:dyDescent="0.25">
      <c r="A16" s="25" t="s">
        <v>1896</v>
      </c>
      <c r="B16" s="26"/>
      <c r="C16" s="26"/>
      <c r="D16" s="26"/>
      <c r="E16" s="26"/>
      <c r="F16" s="26"/>
      <c r="G16" s="26"/>
      <c r="H16" s="26"/>
      <c r="I16" s="26"/>
    </row>
    <row r="17" spans="1:9" ht="18" customHeight="1" x14ac:dyDescent="0.25">
      <c r="A17" s="15" t="s">
        <v>1897</v>
      </c>
      <c r="B17" s="16" t="s">
        <v>1898</v>
      </c>
      <c r="C17" s="16" t="s">
        <v>1899</v>
      </c>
      <c r="D17" s="16" t="s">
        <v>1900</v>
      </c>
      <c r="E17" s="16" t="s">
        <v>1901</v>
      </c>
      <c r="F17" s="17" t="s">
        <v>15</v>
      </c>
      <c r="G17" s="17" t="s">
        <v>1404</v>
      </c>
      <c r="H17" s="17"/>
      <c r="I17" s="16"/>
    </row>
    <row r="18" spans="1:9" ht="41.85" customHeight="1" x14ac:dyDescent="0.25">
      <c r="A18" s="18" t="s">
        <v>1902</v>
      </c>
      <c r="B18" s="19" t="s">
        <v>1903</v>
      </c>
      <c r="C18" s="19" t="s">
        <v>1904</v>
      </c>
      <c r="D18" s="19" t="s">
        <v>1905</v>
      </c>
      <c r="E18" s="19" t="s">
        <v>1906</v>
      </c>
      <c r="F18" s="17" t="s">
        <v>15</v>
      </c>
      <c r="G18" s="17" t="s">
        <v>1123</v>
      </c>
      <c r="H18" s="17"/>
      <c r="I18" s="19"/>
    </row>
    <row r="19" spans="1:9" ht="29.25" customHeight="1" x14ac:dyDescent="0.25">
      <c r="A19" s="15" t="s">
        <v>1907</v>
      </c>
      <c r="B19" s="16" t="s">
        <v>1908</v>
      </c>
      <c r="C19" s="16" t="s">
        <v>1909</v>
      </c>
      <c r="D19" s="16" t="s">
        <v>1910</v>
      </c>
      <c r="E19" s="16" t="s">
        <v>1911</v>
      </c>
      <c r="F19" s="17" t="s">
        <v>15</v>
      </c>
      <c r="G19" s="17" t="s">
        <v>1123</v>
      </c>
      <c r="H19" s="17"/>
      <c r="I19" s="16"/>
    </row>
    <row r="20" spans="1:9" ht="41.85" customHeight="1" x14ac:dyDescent="0.25">
      <c r="A20" s="25" t="s">
        <v>1912</v>
      </c>
      <c r="B20" s="26"/>
      <c r="C20" s="26"/>
      <c r="D20" s="26"/>
      <c r="E20" s="26"/>
      <c r="F20" s="26"/>
      <c r="G20" s="26"/>
      <c r="H20" s="26"/>
      <c r="I20" s="26"/>
    </row>
    <row r="21" spans="1:9" ht="18" customHeight="1" x14ac:dyDescent="0.25">
      <c r="A21" s="15" t="s">
        <v>398</v>
      </c>
      <c r="B21" s="16" t="s">
        <v>1913</v>
      </c>
      <c r="C21" s="16" t="s">
        <v>1914</v>
      </c>
      <c r="D21" s="16" t="s">
        <v>1915</v>
      </c>
      <c r="E21" s="16" t="s">
        <v>1916</v>
      </c>
      <c r="F21" s="17" t="s">
        <v>15</v>
      </c>
      <c r="G21" s="17"/>
      <c r="H21" s="17"/>
      <c r="I21" s="16" t="s">
        <v>1917</v>
      </c>
    </row>
    <row r="22" spans="1:9" ht="41.85" customHeight="1" x14ac:dyDescent="0.25">
      <c r="A22" s="25" t="s">
        <v>1918</v>
      </c>
      <c r="B22" s="26"/>
      <c r="C22" s="26"/>
      <c r="D22" s="26"/>
      <c r="E22" s="26"/>
      <c r="F22" s="26"/>
      <c r="G22" s="26"/>
      <c r="H22" s="26"/>
      <c r="I22" s="26"/>
    </row>
    <row r="23" spans="1:9" ht="18" customHeight="1" x14ac:dyDescent="0.25">
      <c r="A23" s="22" t="s">
        <v>1201</v>
      </c>
    </row>
    <row r="24" spans="1:9" ht="15" customHeight="1" x14ac:dyDescent="0.25">
      <c r="A24" s="23" t="s">
        <v>235</v>
      </c>
    </row>
    <row r="25" spans="1:9" ht="18" customHeight="1" x14ac:dyDescent="0.25">
      <c r="A25" s="15" t="s">
        <v>1919</v>
      </c>
      <c r="B25" s="16" t="s">
        <v>1920</v>
      </c>
      <c r="C25" s="16" t="s">
        <v>1921</v>
      </c>
      <c r="D25" s="16" t="s">
        <v>1922</v>
      </c>
      <c r="E25" s="16" t="s">
        <v>1923</v>
      </c>
      <c r="F25" s="17" t="s">
        <v>15</v>
      </c>
      <c r="G25" s="17" t="s">
        <v>16</v>
      </c>
      <c r="H25" s="17" t="s">
        <v>123</v>
      </c>
      <c r="I25" s="16" t="s">
        <v>1924</v>
      </c>
    </row>
    <row r="26" spans="1:9" ht="54.4" customHeight="1" x14ac:dyDescent="0.25"/>
  </sheetData>
  <mergeCells count="7">
    <mergeCell ref="A2:I2"/>
    <mergeCell ref="A10:I10"/>
    <mergeCell ref="A13:I13"/>
    <mergeCell ref="A6:I6"/>
    <mergeCell ref="A22:I22"/>
    <mergeCell ref="A20:I20"/>
    <mergeCell ref="A16:I16"/>
  </mergeCells>
  <dataValidations count="1">
    <dataValidation type="list" allowBlank="1" sqref="F3:F6 F8:F10 F12:F13 F15:F16 F18:F20 F22 F26" xr:uid="{00000000-0002-0000-0C00-000000000000}">
      <formula1>"Pass,Fail,N/A"</formula1>
    </dataValidation>
  </dataValidation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37"/>
  <sheetViews>
    <sheetView tabSelected="1" workbookViewId="0">
      <pane ySplit="1" topLeftCell="A2" activePane="bottomLeft" state="frozen"/>
      <selection pane="bottomLeft" activeCell="F37" sqref="F37"/>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1925</v>
      </c>
      <c r="B2" s="26"/>
      <c r="C2" s="26"/>
      <c r="D2" s="26"/>
      <c r="E2" s="26"/>
      <c r="F2" s="26"/>
      <c r="G2" s="26"/>
      <c r="H2" s="26"/>
      <c r="I2" s="26"/>
    </row>
    <row r="3" spans="1:9" ht="41.85" customHeight="1" x14ac:dyDescent="0.25">
      <c r="A3" s="15" t="s">
        <v>525</v>
      </c>
      <c r="B3" s="16" t="s">
        <v>1926</v>
      </c>
      <c r="C3" s="16" t="s">
        <v>1927</v>
      </c>
      <c r="D3" s="16" t="s">
        <v>1928</v>
      </c>
      <c r="E3" s="16" t="s">
        <v>1929</v>
      </c>
      <c r="F3" s="17" t="s">
        <v>15</v>
      </c>
      <c r="G3" s="17"/>
      <c r="H3" s="17"/>
      <c r="I3" s="16"/>
    </row>
    <row r="4" spans="1:9" ht="18" customHeight="1" x14ac:dyDescent="0.25">
      <c r="A4" s="25" t="s">
        <v>1930</v>
      </c>
      <c r="B4" s="26"/>
      <c r="C4" s="26"/>
      <c r="D4" s="26"/>
      <c r="E4" s="26"/>
      <c r="F4" s="26"/>
      <c r="G4" s="26"/>
      <c r="H4" s="26"/>
      <c r="I4" s="26"/>
    </row>
    <row r="5" spans="1:9" ht="54.4" customHeight="1" x14ac:dyDescent="0.25">
      <c r="A5" s="15" t="s">
        <v>528</v>
      </c>
      <c r="B5" s="16" t="s">
        <v>1931</v>
      </c>
      <c r="C5" s="16" t="s">
        <v>1932</v>
      </c>
      <c r="D5" s="16" t="s">
        <v>1933</v>
      </c>
      <c r="E5" s="16" t="s">
        <v>1934</v>
      </c>
      <c r="F5" s="17" t="s">
        <v>15</v>
      </c>
      <c r="G5" s="17"/>
      <c r="H5" s="17"/>
      <c r="I5" s="16"/>
    </row>
    <row r="6" spans="1:9" ht="18" customHeight="1" x14ac:dyDescent="0.25">
      <c r="A6" s="25" t="s">
        <v>1935</v>
      </c>
      <c r="B6" s="26"/>
      <c r="C6" s="26"/>
      <c r="D6" s="26"/>
      <c r="E6" s="26"/>
      <c r="F6" s="26"/>
      <c r="G6" s="26"/>
      <c r="H6" s="26"/>
      <c r="I6" s="26"/>
    </row>
    <row r="7" spans="1:9" ht="41.85" customHeight="1" x14ac:dyDescent="0.25">
      <c r="A7" s="15" t="s">
        <v>535</v>
      </c>
      <c r="B7" s="16" t="s">
        <v>1936</v>
      </c>
      <c r="C7" s="16" t="s">
        <v>1937</v>
      </c>
      <c r="D7" s="16" t="s">
        <v>1938</v>
      </c>
      <c r="E7" s="16" t="s">
        <v>1939</v>
      </c>
      <c r="F7" s="17" t="s">
        <v>15</v>
      </c>
      <c r="G7" s="17"/>
      <c r="H7" s="17"/>
      <c r="I7" s="16"/>
    </row>
    <row r="8" spans="1:9" ht="18" customHeight="1" x14ac:dyDescent="0.25">
      <c r="A8" s="25" t="s">
        <v>1940</v>
      </c>
      <c r="B8" s="26"/>
      <c r="C8" s="26"/>
      <c r="D8" s="26"/>
      <c r="E8" s="26"/>
      <c r="F8" s="26"/>
      <c r="G8" s="26"/>
      <c r="H8" s="26"/>
      <c r="I8" s="26"/>
    </row>
    <row r="9" spans="1:9" ht="29.25" customHeight="1" x14ac:dyDescent="0.25">
      <c r="A9" s="15" t="s">
        <v>538</v>
      </c>
      <c r="B9" s="16" t="s">
        <v>1926</v>
      </c>
      <c r="C9" s="16" t="s">
        <v>1941</v>
      </c>
      <c r="D9" s="16" t="s">
        <v>1942</v>
      </c>
      <c r="E9" s="16" t="s">
        <v>1943</v>
      </c>
      <c r="F9" s="17" t="s">
        <v>15</v>
      </c>
      <c r="G9" s="17"/>
      <c r="H9" s="17"/>
      <c r="I9" s="16"/>
    </row>
    <row r="10" spans="1:9" ht="18" customHeight="1" x14ac:dyDescent="0.25">
      <c r="A10" s="25" t="s">
        <v>1944</v>
      </c>
      <c r="B10" s="26"/>
      <c r="C10" s="26"/>
      <c r="D10" s="26"/>
      <c r="E10" s="26"/>
      <c r="F10" s="26"/>
      <c r="G10" s="26"/>
      <c r="H10" s="26"/>
      <c r="I10" s="26"/>
    </row>
    <row r="11" spans="1:9" ht="54.4" customHeight="1" x14ac:dyDescent="0.25">
      <c r="A11" s="15" t="s">
        <v>541</v>
      </c>
      <c r="B11" s="16" t="s">
        <v>1945</v>
      </c>
      <c r="C11" s="16" t="s">
        <v>1946</v>
      </c>
      <c r="D11" s="16" t="s">
        <v>1947</v>
      </c>
      <c r="E11" s="16" t="s">
        <v>1948</v>
      </c>
      <c r="F11" s="17" t="s">
        <v>15</v>
      </c>
      <c r="G11" s="17"/>
      <c r="H11" s="17"/>
      <c r="I11" s="16"/>
    </row>
    <row r="12" spans="1:9" ht="18" customHeight="1" x14ac:dyDescent="0.25">
      <c r="A12" s="25" t="s">
        <v>1949</v>
      </c>
      <c r="B12" s="26"/>
      <c r="C12" s="26"/>
      <c r="D12" s="26"/>
      <c r="E12" s="26"/>
      <c r="F12" s="26"/>
      <c r="G12" s="26"/>
      <c r="H12" s="26"/>
      <c r="I12" s="26"/>
    </row>
    <row r="13" spans="1:9" ht="41.85" customHeight="1" x14ac:dyDescent="0.25">
      <c r="A13" s="15" t="s">
        <v>1950</v>
      </c>
      <c r="B13" s="16" t="s">
        <v>1951</v>
      </c>
      <c r="C13" s="16" t="s">
        <v>1952</v>
      </c>
      <c r="D13" s="16" t="s">
        <v>1953</v>
      </c>
      <c r="E13" s="16" t="s">
        <v>1954</v>
      </c>
      <c r="F13" s="17" t="s">
        <v>15</v>
      </c>
      <c r="G13" s="17"/>
      <c r="H13" s="17"/>
      <c r="I13" s="16"/>
    </row>
    <row r="14" spans="1:9" ht="41.85" customHeight="1" x14ac:dyDescent="0.25">
      <c r="A14" s="18" t="s">
        <v>1955</v>
      </c>
      <c r="B14" s="19" t="s">
        <v>1956</v>
      </c>
      <c r="C14" s="19" t="s">
        <v>1957</v>
      </c>
      <c r="D14" s="19" t="s">
        <v>1958</v>
      </c>
      <c r="E14" s="19" t="s">
        <v>1959</v>
      </c>
      <c r="F14" s="17" t="s">
        <v>15</v>
      </c>
      <c r="G14" s="17"/>
      <c r="H14" s="17"/>
      <c r="I14" s="19" t="s">
        <v>1960</v>
      </c>
    </row>
    <row r="15" spans="1:9" ht="18" customHeight="1" x14ac:dyDescent="0.25">
      <c r="A15" s="25" t="s">
        <v>1961</v>
      </c>
      <c r="B15" s="26"/>
      <c r="C15" s="26"/>
      <c r="D15" s="26"/>
      <c r="E15" s="26"/>
      <c r="F15" s="26"/>
      <c r="G15" s="26"/>
      <c r="H15" s="26"/>
      <c r="I15" s="26"/>
    </row>
    <row r="16" spans="1:9" ht="29.25" customHeight="1" x14ac:dyDescent="0.25">
      <c r="A16" s="15" t="s">
        <v>547</v>
      </c>
      <c r="B16" s="16" t="s">
        <v>1962</v>
      </c>
      <c r="C16" s="16" t="s">
        <v>1963</v>
      </c>
      <c r="D16" s="16" t="s">
        <v>1964</v>
      </c>
      <c r="E16" s="16" t="s">
        <v>1965</v>
      </c>
      <c r="F16" s="17" t="s">
        <v>15</v>
      </c>
      <c r="G16" s="17"/>
      <c r="H16" s="17"/>
      <c r="I16" s="16"/>
    </row>
    <row r="17" spans="1:9" ht="18" customHeight="1" x14ac:dyDescent="0.25">
      <c r="A17" s="25" t="s">
        <v>1966</v>
      </c>
      <c r="B17" s="26"/>
      <c r="C17" s="26"/>
      <c r="D17" s="26"/>
      <c r="E17" s="26"/>
      <c r="F17" s="26"/>
      <c r="G17" s="26"/>
      <c r="H17" s="26"/>
      <c r="I17" s="26"/>
    </row>
    <row r="18" spans="1:9" ht="41.85" customHeight="1" x14ac:dyDescent="0.25">
      <c r="A18" s="15" t="s">
        <v>1967</v>
      </c>
      <c r="B18" s="16" t="s">
        <v>1968</v>
      </c>
      <c r="C18" s="16" t="s">
        <v>1969</v>
      </c>
      <c r="D18" s="16" t="s">
        <v>1970</v>
      </c>
      <c r="E18" s="16" t="s">
        <v>1971</v>
      </c>
      <c r="F18" s="17" t="s">
        <v>15</v>
      </c>
      <c r="G18" s="17"/>
      <c r="H18" s="17"/>
      <c r="I18" s="16"/>
    </row>
    <row r="19" spans="1:9" ht="41.85" customHeight="1" x14ac:dyDescent="0.25">
      <c r="A19" s="18" t="s">
        <v>1972</v>
      </c>
      <c r="B19" s="19" t="s">
        <v>1973</v>
      </c>
      <c r="C19" s="19" t="s">
        <v>1974</v>
      </c>
      <c r="D19" s="19" t="s">
        <v>1975</v>
      </c>
      <c r="E19" s="19" t="s">
        <v>1976</v>
      </c>
      <c r="F19" s="17" t="s">
        <v>15</v>
      </c>
      <c r="G19" s="17"/>
      <c r="H19" s="17"/>
      <c r="I19" s="19"/>
    </row>
    <row r="20" spans="1:9" ht="18" customHeight="1" x14ac:dyDescent="0.25">
      <c r="A20" s="25" t="s">
        <v>1977</v>
      </c>
      <c r="B20" s="26"/>
      <c r="C20" s="26"/>
      <c r="D20" s="26"/>
      <c r="E20" s="26"/>
      <c r="F20" s="26"/>
      <c r="G20" s="26"/>
      <c r="H20" s="26"/>
      <c r="I20" s="26"/>
    </row>
    <row r="21" spans="1:9" ht="54.4" customHeight="1" x14ac:dyDescent="0.25">
      <c r="A21" s="15" t="s">
        <v>705</v>
      </c>
      <c r="B21" s="16" t="s">
        <v>1978</v>
      </c>
      <c r="C21" s="16" t="s">
        <v>1979</v>
      </c>
      <c r="D21" s="16" t="s">
        <v>1980</v>
      </c>
      <c r="E21" s="16" t="s">
        <v>1981</v>
      </c>
      <c r="F21" s="17" t="s">
        <v>15</v>
      </c>
      <c r="G21" s="17"/>
      <c r="H21" s="17"/>
      <c r="I21" s="16"/>
    </row>
    <row r="22" spans="1:9" ht="18" customHeight="1" x14ac:dyDescent="0.25">
      <c r="A22" s="25" t="s">
        <v>1982</v>
      </c>
      <c r="B22" s="26"/>
      <c r="C22" s="26"/>
      <c r="D22" s="26"/>
      <c r="E22" s="26"/>
      <c r="F22" s="26"/>
      <c r="G22" s="26"/>
      <c r="H22" s="26"/>
      <c r="I22" s="26"/>
    </row>
    <row r="23" spans="1:9" ht="54.4" customHeight="1" x14ac:dyDescent="0.25">
      <c r="A23" s="15" t="s">
        <v>709</v>
      </c>
      <c r="B23" s="16" t="s">
        <v>1983</v>
      </c>
      <c r="C23" s="16" t="s">
        <v>1984</v>
      </c>
      <c r="D23" s="16" t="s">
        <v>1985</v>
      </c>
      <c r="E23" s="16" t="s">
        <v>1986</v>
      </c>
      <c r="F23" s="17" t="s">
        <v>15</v>
      </c>
      <c r="G23" s="17"/>
      <c r="H23" s="17"/>
      <c r="I23" s="16"/>
    </row>
    <row r="24" spans="1:9" ht="41.85" customHeight="1" x14ac:dyDescent="0.25">
      <c r="A24" s="25" t="s">
        <v>1987</v>
      </c>
      <c r="B24" s="26"/>
      <c r="C24" s="26"/>
      <c r="D24" s="26"/>
      <c r="E24" s="26"/>
      <c r="F24" s="26"/>
      <c r="G24" s="26"/>
      <c r="H24" s="26"/>
      <c r="I24" s="26"/>
    </row>
    <row r="25" spans="1:9" ht="18" customHeight="1" x14ac:dyDescent="0.25">
      <c r="A25" s="15" t="s">
        <v>712</v>
      </c>
      <c r="B25" s="16" t="s">
        <v>1988</v>
      </c>
      <c r="C25" s="16" t="s">
        <v>1989</v>
      </c>
      <c r="D25" s="16" t="s">
        <v>1990</v>
      </c>
      <c r="E25" s="16" t="s">
        <v>1991</v>
      </c>
      <c r="F25" s="17" t="s">
        <v>15</v>
      </c>
      <c r="G25" s="17"/>
      <c r="H25" s="17"/>
      <c r="I25" s="16"/>
    </row>
    <row r="26" spans="1:9" ht="41.85" customHeight="1" x14ac:dyDescent="0.25">
      <c r="A26" s="25" t="s">
        <v>1992</v>
      </c>
      <c r="B26" s="26"/>
      <c r="C26" s="26"/>
      <c r="D26" s="26"/>
      <c r="E26" s="26"/>
      <c r="F26" s="26"/>
      <c r="G26" s="26"/>
      <c r="H26" s="26"/>
      <c r="I26" s="26"/>
    </row>
    <row r="27" spans="1:9" ht="18" customHeight="1" x14ac:dyDescent="0.25">
      <c r="A27" s="15" t="s">
        <v>715</v>
      </c>
      <c r="B27" s="16" t="s">
        <v>1993</v>
      </c>
      <c r="C27" s="16" t="s">
        <v>1974</v>
      </c>
      <c r="D27" s="16" t="s">
        <v>1994</v>
      </c>
      <c r="E27" s="16" t="s">
        <v>1995</v>
      </c>
      <c r="F27" s="17" t="s">
        <v>15</v>
      </c>
      <c r="G27" s="17"/>
      <c r="H27" s="17"/>
      <c r="I27" s="16"/>
    </row>
    <row r="28" spans="1:9" ht="54.4" customHeight="1" x14ac:dyDescent="0.25">
      <c r="A28" s="23" t="s">
        <v>235</v>
      </c>
    </row>
    <row r="29" spans="1:9" ht="18" customHeight="1" x14ac:dyDescent="0.25">
      <c r="A29" s="15" t="s">
        <v>1996</v>
      </c>
      <c r="B29" s="16" t="s">
        <v>1997</v>
      </c>
      <c r="C29" s="16" t="s">
        <v>1998</v>
      </c>
      <c r="D29" s="16" t="s">
        <v>1999</v>
      </c>
      <c r="E29" s="16" t="s">
        <v>2000</v>
      </c>
      <c r="F29" s="17"/>
      <c r="G29" s="17"/>
      <c r="H29" s="17"/>
      <c r="I29" s="16" t="s">
        <v>2001</v>
      </c>
    </row>
    <row r="30" spans="1:9" ht="54.4" customHeight="1" x14ac:dyDescent="0.25">
      <c r="A30" s="18" t="s">
        <v>2002</v>
      </c>
      <c r="B30" s="19" t="s">
        <v>2003</v>
      </c>
      <c r="C30" s="19" t="s">
        <v>2004</v>
      </c>
      <c r="D30" s="19" t="s">
        <v>2005</v>
      </c>
      <c r="E30" s="19" t="s">
        <v>2006</v>
      </c>
      <c r="F30" s="17" t="s">
        <v>15</v>
      </c>
      <c r="G30" s="17"/>
      <c r="H30" s="17"/>
      <c r="I30" s="19" t="s">
        <v>1960</v>
      </c>
    </row>
    <row r="31" spans="1:9" ht="18" customHeight="1" x14ac:dyDescent="0.25"/>
    <row r="32" spans="1:9" ht="41.85" customHeight="1" x14ac:dyDescent="0.25"/>
    <row r="33" ht="18" customHeight="1" x14ac:dyDescent="0.25"/>
    <row r="34" ht="41.85" customHeight="1" x14ac:dyDescent="0.25"/>
    <row r="35" ht="18" customHeight="1" x14ac:dyDescent="0.25"/>
    <row r="36" ht="41.85" customHeight="1" x14ac:dyDescent="0.25"/>
    <row r="37" ht="41.85" customHeight="1" x14ac:dyDescent="0.25"/>
  </sheetData>
  <mergeCells count="12">
    <mergeCell ref="A15:I15"/>
    <mergeCell ref="A26:I26"/>
    <mergeCell ref="A2:I2"/>
    <mergeCell ref="A10:I10"/>
    <mergeCell ref="A17:I17"/>
    <mergeCell ref="A8:I8"/>
    <mergeCell ref="A6:I6"/>
    <mergeCell ref="A22:I22"/>
    <mergeCell ref="A12:I12"/>
    <mergeCell ref="A4:I4"/>
    <mergeCell ref="A20:I20"/>
    <mergeCell ref="A24:I24"/>
  </mergeCells>
  <dataValidations count="1">
    <dataValidation type="list" allowBlank="1" sqref="F3 F5 F7 F9 F11 F13:F14 F16 F18:F19 F21 F23:F24 F26 F28 F30 F32 F34 F36:F37" xr:uid="{00000000-0002-0000-0D00-000000000000}">
      <formula1>"Pass,Fail,N/A"</formula1>
    </dataValidation>
  </dataValidation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3"/>
  <sheetViews>
    <sheetView workbookViewId="0">
      <pane ySplit="1" topLeftCell="A2" activePane="bottomLeft" state="frozen"/>
      <selection pane="bottomLeft" activeCell="I6" sqref="I6"/>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2007</v>
      </c>
      <c r="B2" s="26"/>
      <c r="C2" s="26"/>
      <c r="D2" s="26"/>
      <c r="E2" s="26"/>
      <c r="F2" s="26"/>
      <c r="G2" s="26"/>
      <c r="H2" s="26"/>
      <c r="I2" s="26"/>
    </row>
    <row r="3" spans="1:9" ht="54.4" customHeight="1" x14ac:dyDescent="0.25">
      <c r="A3" s="15" t="s">
        <v>2008</v>
      </c>
      <c r="B3" s="16" t="s">
        <v>658</v>
      </c>
      <c r="C3" s="16" t="s">
        <v>2009</v>
      </c>
      <c r="D3" s="16" t="s">
        <v>2010</v>
      </c>
      <c r="E3" s="16" t="s">
        <v>2011</v>
      </c>
      <c r="F3" s="17" t="s">
        <v>15</v>
      </c>
      <c r="G3" s="17"/>
      <c r="H3" s="17"/>
      <c r="I3" s="16"/>
    </row>
    <row r="4" spans="1:9" ht="41.85" customHeight="1" x14ac:dyDescent="0.25">
      <c r="A4" s="18" t="s">
        <v>2012</v>
      </c>
      <c r="B4" s="19" t="s">
        <v>658</v>
      </c>
      <c r="C4" s="19" t="s">
        <v>2013</v>
      </c>
      <c r="D4" s="19" t="s">
        <v>2014</v>
      </c>
      <c r="E4" s="19" t="s">
        <v>2015</v>
      </c>
      <c r="F4" s="17" t="s">
        <v>15</v>
      </c>
      <c r="G4" s="17"/>
      <c r="H4" s="17"/>
      <c r="I4" s="19"/>
    </row>
    <row r="5" spans="1:9" ht="18" customHeight="1" x14ac:dyDescent="0.25">
      <c r="A5" s="25" t="s">
        <v>2016</v>
      </c>
      <c r="B5" s="26"/>
      <c r="C5" s="26"/>
      <c r="D5" s="26"/>
      <c r="E5" s="26"/>
      <c r="F5" s="26"/>
      <c r="G5" s="26"/>
      <c r="H5" s="26"/>
      <c r="I5" s="26"/>
    </row>
    <row r="6" spans="1:9" ht="41.85" customHeight="1" x14ac:dyDescent="0.25">
      <c r="A6" s="15" t="s">
        <v>2017</v>
      </c>
      <c r="B6" s="16" t="s">
        <v>2018</v>
      </c>
      <c r="C6" s="16" t="s">
        <v>2019</v>
      </c>
      <c r="D6" s="16" t="s">
        <v>2020</v>
      </c>
      <c r="E6" s="16" t="s">
        <v>2021</v>
      </c>
      <c r="F6" s="17" t="s">
        <v>15</v>
      </c>
      <c r="G6" s="17"/>
      <c r="H6" s="17"/>
      <c r="I6" s="16" t="s">
        <v>2022</v>
      </c>
    </row>
    <row r="7" spans="1:9" ht="41.85" customHeight="1" x14ac:dyDescent="0.25">
      <c r="A7" s="18" t="s">
        <v>2023</v>
      </c>
      <c r="B7" s="19" t="s">
        <v>2018</v>
      </c>
      <c r="C7" s="19" t="s">
        <v>2024</v>
      </c>
      <c r="D7" s="19" t="s">
        <v>2025</v>
      </c>
      <c r="E7" s="19" t="s">
        <v>2026</v>
      </c>
      <c r="F7" s="17" t="s">
        <v>15</v>
      </c>
      <c r="G7" s="17"/>
      <c r="H7" s="17"/>
      <c r="I7" s="19"/>
    </row>
    <row r="8" spans="1:9" ht="29.25" customHeight="1" x14ac:dyDescent="0.25">
      <c r="A8" s="15" t="s">
        <v>2027</v>
      </c>
      <c r="B8" s="16" t="s">
        <v>2018</v>
      </c>
      <c r="C8" s="16" t="s">
        <v>2028</v>
      </c>
      <c r="D8" s="16" t="s">
        <v>2029</v>
      </c>
      <c r="E8" s="16" t="s">
        <v>2030</v>
      </c>
      <c r="F8" s="17" t="s">
        <v>15</v>
      </c>
      <c r="G8" s="17"/>
      <c r="H8" s="17"/>
      <c r="I8" s="16"/>
    </row>
    <row r="9" spans="1:9" ht="18" customHeight="1" x14ac:dyDescent="0.25">
      <c r="A9" s="18" t="s">
        <v>2031</v>
      </c>
      <c r="B9" s="19" t="s">
        <v>2018</v>
      </c>
      <c r="C9" s="19" t="s">
        <v>2032</v>
      </c>
      <c r="D9" s="19" t="s">
        <v>2033</v>
      </c>
      <c r="E9" s="19" t="s">
        <v>2034</v>
      </c>
      <c r="F9" s="17" t="s">
        <v>15</v>
      </c>
      <c r="G9" s="17" t="s">
        <v>16</v>
      </c>
      <c r="H9" s="17" t="s">
        <v>123</v>
      </c>
      <c r="I9" s="19" t="s">
        <v>2035</v>
      </c>
    </row>
    <row r="10" spans="1:9" ht="66.95" customHeight="1" x14ac:dyDescent="0.25"/>
    <row r="11" spans="1:9" ht="54.4" customHeight="1" x14ac:dyDescent="0.25"/>
    <row r="12" spans="1:9" ht="41.85" customHeight="1" x14ac:dyDescent="0.25"/>
    <row r="13" spans="1:9" ht="29.25" customHeight="1" x14ac:dyDescent="0.25"/>
  </sheetData>
  <mergeCells count="2">
    <mergeCell ref="A5:I5"/>
    <mergeCell ref="A2:I2"/>
  </mergeCells>
  <dataValidations count="1">
    <dataValidation type="list" allowBlank="1" sqref="F3:F4 F6:F8 F10:F13" xr:uid="{00000000-0002-0000-0E00-000000000000}">
      <formula1>"Pass,Fail,N/A"</formula1>
    </dataValidation>
  </dataValidation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6"/>
  <sheetViews>
    <sheetView workbookViewId="0">
      <pane ySplit="1" topLeftCell="A16" activePane="bottomLeft" state="frozen"/>
      <selection pane="bottomLeft" activeCell="F24" sqref="F24"/>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2036</v>
      </c>
      <c r="B2" s="26"/>
      <c r="C2" s="26"/>
      <c r="D2" s="26"/>
      <c r="E2" s="26"/>
      <c r="F2" s="26"/>
      <c r="G2" s="26"/>
      <c r="H2" s="26"/>
      <c r="I2" s="26"/>
    </row>
    <row r="3" spans="1:9" ht="54.4" customHeight="1" x14ac:dyDescent="0.25">
      <c r="A3" s="15" t="s">
        <v>577</v>
      </c>
      <c r="B3" s="16" t="s">
        <v>2037</v>
      </c>
      <c r="C3" s="16" t="s">
        <v>2038</v>
      </c>
      <c r="D3" s="16" t="s">
        <v>2039</v>
      </c>
      <c r="E3" s="16" t="s">
        <v>2040</v>
      </c>
      <c r="F3" s="17" t="s">
        <v>15</v>
      </c>
      <c r="G3" s="17"/>
      <c r="H3" s="17"/>
      <c r="I3" s="16" t="s">
        <v>2041</v>
      </c>
    </row>
    <row r="4" spans="1:9" ht="18" customHeight="1" x14ac:dyDescent="0.25">
      <c r="A4" s="25" t="s">
        <v>2042</v>
      </c>
      <c r="B4" s="26"/>
      <c r="C4" s="26"/>
      <c r="D4" s="26"/>
      <c r="E4" s="26"/>
      <c r="F4" s="26"/>
      <c r="G4" s="26"/>
      <c r="H4" s="26"/>
      <c r="I4" s="26"/>
    </row>
    <row r="5" spans="1:9" ht="66.95" customHeight="1" x14ac:dyDescent="0.25">
      <c r="A5" s="15" t="s">
        <v>2043</v>
      </c>
      <c r="B5" s="16" t="s">
        <v>2037</v>
      </c>
      <c r="C5" s="16" t="s">
        <v>2044</v>
      </c>
      <c r="D5" s="16" t="s">
        <v>2045</v>
      </c>
      <c r="E5" s="16" t="s">
        <v>2046</v>
      </c>
      <c r="F5" s="17" t="s">
        <v>15</v>
      </c>
      <c r="G5" s="17"/>
      <c r="H5" s="17"/>
      <c r="I5" s="16"/>
    </row>
    <row r="6" spans="1:9" ht="54.4" customHeight="1" x14ac:dyDescent="0.25">
      <c r="A6" s="18" t="s">
        <v>2047</v>
      </c>
      <c r="B6" s="19" t="s">
        <v>2037</v>
      </c>
      <c r="C6" s="19" t="s">
        <v>2048</v>
      </c>
      <c r="D6" s="19" t="s">
        <v>2049</v>
      </c>
      <c r="E6" s="19" t="s">
        <v>2050</v>
      </c>
      <c r="F6" s="17" t="s">
        <v>15</v>
      </c>
      <c r="G6" s="17"/>
      <c r="H6" s="17"/>
      <c r="I6" s="19"/>
    </row>
    <row r="7" spans="1:9" ht="66.95" customHeight="1" x14ac:dyDescent="0.25">
      <c r="A7" s="25" t="s">
        <v>2051</v>
      </c>
      <c r="B7" s="26"/>
      <c r="C7" s="26"/>
      <c r="D7" s="26"/>
      <c r="E7" s="26"/>
      <c r="F7" s="26"/>
      <c r="G7" s="26"/>
      <c r="H7" s="26"/>
      <c r="I7" s="26"/>
    </row>
    <row r="8" spans="1:9" ht="18" customHeight="1" x14ac:dyDescent="0.25">
      <c r="A8" s="15" t="s">
        <v>590</v>
      </c>
      <c r="B8" s="16" t="s">
        <v>2052</v>
      </c>
      <c r="C8" s="16" t="s">
        <v>2053</v>
      </c>
      <c r="D8" s="16" t="s">
        <v>2054</v>
      </c>
      <c r="E8" s="16" t="s">
        <v>2055</v>
      </c>
      <c r="F8" s="17" t="s">
        <v>15</v>
      </c>
      <c r="G8" s="17"/>
      <c r="H8" s="17"/>
      <c r="I8" s="16" t="s">
        <v>2056</v>
      </c>
    </row>
    <row r="9" spans="1:9" ht="54.4" customHeight="1" x14ac:dyDescent="0.25">
      <c r="A9" s="25" t="s">
        <v>2057</v>
      </c>
      <c r="B9" s="26"/>
      <c r="C9" s="26"/>
      <c r="D9" s="26"/>
      <c r="E9" s="26"/>
      <c r="F9" s="26"/>
      <c r="G9" s="26"/>
      <c r="H9" s="26"/>
      <c r="I9" s="26"/>
    </row>
    <row r="10" spans="1:9" ht="41.85" customHeight="1" x14ac:dyDescent="0.25">
      <c r="A10" s="15" t="s">
        <v>645</v>
      </c>
      <c r="B10" s="16" t="s">
        <v>2058</v>
      </c>
      <c r="C10" s="16" t="s">
        <v>2059</v>
      </c>
      <c r="D10" s="16" t="s">
        <v>2060</v>
      </c>
      <c r="E10" s="16" t="s">
        <v>2061</v>
      </c>
      <c r="F10" s="17" t="s">
        <v>15</v>
      </c>
      <c r="G10" s="17"/>
      <c r="H10" s="17"/>
      <c r="I10" s="16" t="s">
        <v>2062</v>
      </c>
    </row>
    <row r="11" spans="1:9" ht="18" customHeight="1" x14ac:dyDescent="0.25">
      <c r="A11" s="25" t="s">
        <v>2063</v>
      </c>
      <c r="B11" s="26"/>
      <c r="C11" s="26"/>
      <c r="D11" s="26"/>
      <c r="E11" s="26"/>
      <c r="F11" s="26"/>
      <c r="G11" s="26"/>
      <c r="H11" s="26"/>
      <c r="I11" s="26"/>
    </row>
    <row r="12" spans="1:9" ht="54.4" customHeight="1" x14ac:dyDescent="0.25">
      <c r="A12" s="15" t="s">
        <v>2064</v>
      </c>
      <c r="B12" s="16" t="s">
        <v>2058</v>
      </c>
      <c r="C12" s="16" t="s">
        <v>2065</v>
      </c>
      <c r="D12" s="16" t="s">
        <v>2066</v>
      </c>
      <c r="E12" s="16" t="s">
        <v>2067</v>
      </c>
      <c r="F12" s="17" t="s">
        <v>15</v>
      </c>
      <c r="G12" s="17"/>
      <c r="H12" s="17"/>
      <c r="I12" s="16"/>
    </row>
    <row r="13" spans="1:9" ht="18" customHeight="1" x14ac:dyDescent="0.25">
      <c r="A13" s="18" t="s">
        <v>2068</v>
      </c>
      <c r="B13" s="19" t="s">
        <v>2058</v>
      </c>
      <c r="C13" s="19" t="s">
        <v>2069</v>
      </c>
      <c r="D13" s="19" t="s">
        <v>2070</v>
      </c>
      <c r="E13" s="19" t="s">
        <v>2071</v>
      </c>
      <c r="F13" s="17" t="s">
        <v>15</v>
      </c>
      <c r="G13" s="17"/>
      <c r="H13" s="17"/>
      <c r="I13" s="19"/>
    </row>
    <row r="14" spans="1:9" ht="66.95" customHeight="1" x14ac:dyDescent="0.25">
      <c r="A14" s="25" t="s">
        <v>2072</v>
      </c>
      <c r="B14" s="26"/>
      <c r="C14" s="26"/>
      <c r="D14" s="26"/>
      <c r="E14" s="26"/>
      <c r="F14" s="26"/>
      <c r="G14" s="26"/>
      <c r="H14" s="26"/>
      <c r="I14" s="26"/>
    </row>
    <row r="15" spans="1:9" ht="18" customHeight="1" x14ac:dyDescent="0.25">
      <c r="A15" s="15" t="s">
        <v>676</v>
      </c>
      <c r="B15" s="16" t="s">
        <v>2073</v>
      </c>
      <c r="C15" s="16" t="s">
        <v>2074</v>
      </c>
      <c r="D15" s="16" t="s">
        <v>2075</v>
      </c>
      <c r="E15" s="16" t="s">
        <v>2076</v>
      </c>
      <c r="F15" s="17" t="s">
        <v>15</v>
      </c>
      <c r="G15" s="17"/>
      <c r="H15" s="17"/>
      <c r="I15" s="16" t="s">
        <v>2077</v>
      </c>
    </row>
    <row r="16" spans="1:9" ht="41.85" customHeight="1" x14ac:dyDescent="0.25">
      <c r="A16" s="25" t="s">
        <v>2078</v>
      </c>
      <c r="B16" s="26"/>
      <c r="C16" s="26"/>
      <c r="D16" s="26"/>
      <c r="E16" s="26"/>
      <c r="F16" s="26"/>
      <c r="G16" s="26"/>
      <c r="H16" s="26"/>
      <c r="I16" s="26"/>
    </row>
    <row r="17" spans="1:9" ht="54.4" customHeight="1" x14ac:dyDescent="0.25">
      <c r="A17" s="15" t="s">
        <v>2079</v>
      </c>
      <c r="B17" s="16" t="s">
        <v>2080</v>
      </c>
      <c r="C17" s="16" t="s">
        <v>2081</v>
      </c>
      <c r="D17" s="16" t="s">
        <v>2082</v>
      </c>
      <c r="E17" s="16" t="s">
        <v>2083</v>
      </c>
      <c r="F17" s="17" t="s">
        <v>15</v>
      </c>
      <c r="G17" s="17"/>
      <c r="H17" s="17"/>
      <c r="I17" s="16"/>
    </row>
    <row r="18" spans="1:9" ht="41.85" customHeight="1" x14ac:dyDescent="0.25">
      <c r="A18" s="18" t="s">
        <v>2084</v>
      </c>
      <c r="B18" s="19" t="s">
        <v>2080</v>
      </c>
      <c r="C18" s="19" t="s">
        <v>2085</v>
      </c>
      <c r="D18" s="19" t="s">
        <v>2086</v>
      </c>
      <c r="E18" s="19" t="s">
        <v>2087</v>
      </c>
      <c r="F18" s="17" t="s">
        <v>15</v>
      </c>
      <c r="G18" s="17" t="s">
        <v>16</v>
      </c>
      <c r="H18" s="17" t="s">
        <v>123</v>
      </c>
      <c r="I18" s="19" t="s">
        <v>2088</v>
      </c>
    </row>
    <row r="19" spans="1:9" ht="41.85" customHeight="1" x14ac:dyDescent="0.25">
      <c r="A19" s="25" t="s">
        <v>2089</v>
      </c>
      <c r="B19" s="26"/>
      <c r="C19" s="26"/>
      <c r="D19" s="26"/>
      <c r="E19" s="26"/>
      <c r="F19" s="26"/>
      <c r="G19" s="26"/>
      <c r="H19" s="26"/>
      <c r="I19" s="26"/>
    </row>
    <row r="20" spans="1:9" ht="18" customHeight="1" x14ac:dyDescent="0.25">
      <c r="A20" s="22" t="s">
        <v>1201</v>
      </c>
    </row>
    <row r="21" spans="1:9" ht="66.95" customHeight="1" x14ac:dyDescent="0.25"/>
    <row r="22" spans="1:9" ht="18" customHeight="1" x14ac:dyDescent="0.25"/>
    <row r="23" spans="1:9" ht="41.85" customHeight="1" x14ac:dyDescent="0.25"/>
    <row r="24" spans="1:9" ht="29.25" customHeight="1" x14ac:dyDescent="0.25"/>
    <row r="25" spans="1:9" ht="18" customHeight="1" x14ac:dyDescent="0.25"/>
    <row r="26" spans="1:9" ht="41.85" customHeight="1" x14ac:dyDescent="0.25"/>
    <row r="27" spans="1:9" ht="18" customHeight="1" x14ac:dyDescent="0.25"/>
    <row r="28" spans="1:9" ht="54.4" customHeight="1" x14ac:dyDescent="0.25"/>
    <row r="29" spans="1:9" ht="18" customHeight="1" x14ac:dyDescent="0.25"/>
    <row r="30" spans="1:9" ht="54.4" customHeight="1" x14ac:dyDescent="0.25"/>
    <row r="31" spans="1:9" ht="18" customHeight="1" x14ac:dyDescent="0.25"/>
    <row r="32" spans="1:9" ht="41.85" customHeight="1" x14ac:dyDescent="0.25"/>
    <row r="33" ht="18" customHeight="1" x14ac:dyDescent="0.25"/>
    <row r="34" ht="15" customHeight="1" x14ac:dyDescent="0.25"/>
    <row r="35" ht="18" customHeight="1" x14ac:dyDescent="0.25"/>
    <row r="36" ht="29.25" customHeight="1" x14ac:dyDescent="0.25"/>
  </sheetData>
  <mergeCells count="8">
    <mergeCell ref="A7:I7"/>
    <mergeCell ref="A19:I19"/>
    <mergeCell ref="A2:I2"/>
    <mergeCell ref="A11:I11"/>
    <mergeCell ref="A14:I14"/>
    <mergeCell ref="A9:I9"/>
    <mergeCell ref="A4:I4"/>
    <mergeCell ref="A16:I16"/>
  </mergeCells>
  <dataValidations count="1">
    <dataValidation type="list" allowBlank="1" sqref="F3 F5:F7 F9:F10 F12 F14 F16:F19 F21 F23:F24 F26 F28 F30 F32 F36" xr:uid="{00000000-0002-0000-0F00-000000000000}">
      <formula1>"Pass,Fail,N/A"</formula1>
    </dataValidation>
  </dataValidation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9"/>
  <sheetViews>
    <sheetView workbookViewId="0">
      <pane ySplit="1" topLeftCell="A28" activePane="bottomLeft" state="frozen"/>
      <selection pane="bottomLeft" activeCell="F39" sqref="F39"/>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2090</v>
      </c>
      <c r="B2" s="26"/>
      <c r="C2" s="26"/>
      <c r="D2" s="26"/>
      <c r="E2" s="26"/>
      <c r="F2" s="26"/>
      <c r="G2" s="26"/>
      <c r="H2" s="26"/>
      <c r="I2" s="26"/>
    </row>
    <row r="3" spans="1:9" ht="79.7" customHeight="1" x14ac:dyDescent="0.25">
      <c r="A3" s="15" t="s">
        <v>2091</v>
      </c>
      <c r="B3" s="16" t="s">
        <v>2092</v>
      </c>
      <c r="C3" s="16" t="s">
        <v>2093</v>
      </c>
      <c r="D3" s="16" t="s">
        <v>2094</v>
      </c>
      <c r="E3" s="16" t="s">
        <v>2095</v>
      </c>
      <c r="F3" s="17"/>
      <c r="G3" s="17"/>
      <c r="H3" s="17"/>
      <c r="I3" s="16" t="s">
        <v>2096</v>
      </c>
    </row>
    <row r="4" spans="1:9" ht="41.85" customHeight="1" x14ac:dyDescent="0.25">
      <c r="A4" s="18" t="s">
        <v>2097</v>
      </c>
      <c r="B4" s="19" t="s">
        <v>2092</v>
      </c>
      <c r="C4" s="19" t="s">
        <v>2098</v>
      </c>
      <c r="D4" s="19" t="s">
        <v>2099</v>
      </c>
      <c r="E4" s="19" t="s">
        <v>2100</v>
      </c>
      <c r="F4" s="17"/>
      <c r="G4" s="17"/>
      <c r="H4" s="17"/>
      <c r="I4" s="19" t="s">
        <v>2101</v>
      </c>
    </row>
    <row r="5" spans="1:9" ht="79.7" customHeight="1" x14ac:dyDescent="0.25">
      <c r="A5" s="15" t="s">
        <v>2102</v>
      </c>
      <c r="B5" s="16" t="s">
        <v>2103</v>
      </c>
      <c r="C5" s="16" t="s">
        <v>2104</v>
      </c>
      <c r="D5" s="16" t="s">
        <v>2105</v>
      </c>
      <c r="E5" s="16" t="s">
        <v>2106</v>
      </c>
      <c r="F5" s="17"/>
      <c r="G5" s="17"/>
      <c r="H5" s="17"/>
      <c r="I5" s="16" t="s">
        <v>2107</v>
      </c>
    </row>
    <row r="6" spans="1:9" ht="18" customHeight="1" x14ac:dyDescent="0.25">
      <c r="A6" s="25" t="s">
        <v>2108</v>
      </c>
      <c r="B6" s="26"/>
      <c r="C6" s="26"/>
      <c r="D6" s="26"/>
      <c r="E6" s="26"/>
      <c r="F6" s="26"/>
      <c r="G6" s="26"/>
      <c r="H6" s="26"/>
      <c r="I6" s="26"/>
    </row>
    <row r="7" spans="1:9" ht="54.4" customHeight="1" x14ac:dyDescent="0.25">
      <c r="A7" s="15" t="s">
        <v>2109</v>
      </c>
      <c r="B7" s="16" t="s">
        <v>2110</v>
      </c>
      <c r="C7" s="16" t="s">
        <v>2111</v>
      </c>
      <c r="D7" s="16" t="s">
        <v>2112</v>
      </c>
      <c r="E7" s="16" t="s">
        <v>2113</v>
      </c>
      <c r="F7" s="17" t="s">
        <v>15</v>
      </c>
      <c r="G7" s="17" t="s">
        <v>16</v>
      </c>
      <c r="H7" s="17"/>
      <c r="I7" s="16" t="s">
        <v>2114</v>
      </c>
    </row>
    <row r="8" spans="1:9" ht="41.85" customHeight="1" x14ac:dyDescent="0.25">
      <c r="A8" s="18" t="s">
        <v>2115</v>
      </c>
      <c r="B8" s="19" t="s">
        <v>2110</v>
      </c>
      <c r="C8" s="19" t="s">
        <v>2116</v>
      </c>
      <c r="D8" s="19" t="s">
        <v>2117</v>
      </c>
      <c r="E8" s="19" t="s">
        <v>2118</v>
      </c>
      <c r="F8" s="17" t="s">
        <v>15</v>
      </c>
      <c r="G8" s="17" t="s">
        <v>16</v>
      </c>
      <c r="H8" s="17"/>
      <c r="I8" s="19" t="s">
        <v>2119</v>
      </c>
    </row>
    <row r="9" spans="1:9" ht="66.95" customHeight="1" x14ac:dyDescent="0.25">
      <c r="A9" s="15" t="s">
        <v>2120</v>
      </c>
      <c r="B9" s="16" t="s">
        <v>2121</v>
      </c>
      <c r="C9" s="16" t="s">
        <v>2122</v>
      </c>
      <c r="D9" s="16" t="s">
        <v>2123</v>
      </c>
      <c r="E9" s="16" t="s">
        <v>2124</v>
      </c>
      <c r="F9" s="17" t="s">
        <v>15</v>
      </c>
      <c r="G9" s="17" t="s">
        <v>16</v>
      </c>
      <c r="H9" s="17"/>
      <c r="I9" s="16" t="s">
        <v>2125</v>
      </c>
    </row>
    <row r="10" spans="1:9" ht="18" customHeight="1" x14ac:dyDescent="0.25">
      <c r="A10" s="25" t="s">
        <v>2126</v>
      </c>
      <c r="B10" s="26"/>
      <c r="C10" s="26"/>
      <c r="D10" s="26"/>
      <c r="E10" s="26"/>
      <c r="F10" s="26"/>
      <c r="G10" s="26"/>
      <c r="H10" s="26"/>
      <c r="I10" s="26"/>
    </row>
    <row r="11" spans="1:9" ht="66.95" customHeight="1" x14ac:dyDescent="0.25">
      <c r="A11" s="15" t="s">
        <v>690</v>
      </c>
      <c r="B11" s="16" t="s">
        <v>2127</v>
      </c>
      <c r="C11" s="16" t="s">
        <v>2128</v>
      </c>
      <c r="D11" s="16" t="s">
        <v>2129</v>
      </c>
      <c r="E11" s="16" t="s">
        <v>2130</v>
      </c>
      <c r="F11" s="17"/>
      <c r="G11" s="17"/>
      <c r="H11" s="17"/>
      <c r="I11" s="16" t="s">
        <v>2131</v>
      </c>
    </row>
    <row r="12" spans="1:9" ht="18" customHeight="1" x14ac:dyDescent="0.25">
      <c r="A12" s="25" t="s">
        <v>2132</v>
      </c>
      <c r="B12" s="26"/>
      <c r="C12" s="26"/>
      <c r="D12" s="26"/>
      <c r="E12" s="26"/>
      <c r="F12" s="26"/>
      <c r="G12" s="26"/>
      <c r="H12" s="26"/>
      <c r="I12" s="26"/>
    </row>
    <row r="13" spans="1:9" ht="54.4" customHeight="1" x14ac:dyDescent="0.25">
      <c r="A13" s="15" t="s">
        <v>2133</v>
      </c>
      <c r="B13" s="16" t="s">
        <v>2134</v>
      </c>
      <c r="C13" s="16" t="s">
        <v>2135</v>
      </c>
      <c r="D13" s="16" t="s">
        <v>2136</v>
      </c>
      <c r="E13" s="16" t="s">
        <v>2137</v>
      </c>
      <c r="F13" s="17" t="s">
        <v>15</v>
      </c>
      <c r="G13" s="17"/>
      <c r="H13" s="17"/>
      <c r="I13" s="16"/>
    </row>
    <row r="14" spans="1:9" ht="66.95" customHeight="1" x14ac:dyDescent="0.25">
      <c r="A14" s="18" t="s">
        <v>2138</v>
      </c>
      <c r="B14" s="19" t="s">
        <v>2139</v>
      </c>
      <c r="C14" s="19" t="s">
        <v>2140</v>
      </c>
      <c r="D14" s="19" t="s">
        <v>2141</v>
      </c>
      <c r="E14" s="19" t="s">
        <v>2142</v>
      </c>
      <c r="F14" s="17" t="s">
        <v>15</v>
      </c>
      <c r="G14" s="17"/>
      <c r="H14" s="17"/>
      <c r="I14" s="19"/>
    </row>
    <row r="15" spans="1:9" ht="41.85" customHeight="1" x14ac:dyDescent="0.25">
      <c r="A15" s="15" t="s">
        <v>2143</v>
      </c>
      <c r="B15" s="16" t="s">
        <v>2144</v>
      </c>
      <c r="C15" s="16" t="s">
        <v>2145</v>
      </c>
      <c r="D15" s="16" t="s">
        <v>2146</v>
      </c>
      <c r="E15" s="16" t="s">
        <v>2147</v>
      </c>
      <c r="F15" s="17" t="s">
        <v>15</v>
      </c>
      <c r="G15" s="17"/>
      <c r="H15" s="17"/>
      <c r="I15" s="16"/>
    </row>
    <row r="16" spans="1:9" ht="18" customHeight="1" x14ac:dyDescent="0.25">
      <c r="A16" s="25" t="s">
        <v>2148</v>
      </c>
      <c r="B16" s="26"/>
      <c r="C16" s="26"/>
      <c r="D16" s="26"/>
      <c r="E16" s="26"/>
      <c r="F16" s="26"/>
      <c r="G16" s="26"/>
      <c r="H16" s="26"/>
      <c r="I16" s="26"/>
    </row>
    <row r="17" spans="1:9" ht="41.85" customHeight="1" x14ac:dyDescent="0.25">
      <c r="A17" s="15" t="s">
        <v>2149</v>
      </c>
      <c r="B17" s="16" t="s">
        <v>2150</v>
      </c>
      <c r="C17" s="16" t="s">
        <v>2151</v>
      </c>
      <c r="D17" s="16" t="s">
        <v>2152</v>
      </c>
      <c r="E17" s="16" t="s">
        <v>2153</v>
      </c>
      <c r="F17" s="17" t="s">
        <v>15</v>
      </c>
      <c r="G17" s="17"/>
      <c r="H17" s="17"/>
      <c r="I17" s="16"/>
    </row>
    <row r="18" spans="1:9" ht="54.4" customHeight="1" x14ac:dyDescent="0.25">
      <c r="A18" s="18" t="s">
        <v>2154</v>
      </c>
      <c r="B18" s="19" t="s">
        <v>2155</v>
      </c>
      <c r="C18" s="19" t="s">
        <v>2156</v>
      </c>
      <c r="D18" s="19" t="s">
        <v>2157</v>
      </c>
      <c r="E18" s="19" t="s">
        <v>2158</v>
      </c>
      <c r="F18" s="17" t="s">
        <v>15</v>
      </c>
      <c r="G18" s="17"/>
      <c r="H18" s="17"/>
      <c r="I18" s="19"/>
    </row>
    <row r="19" spans="1:9" ht="41.85" customHeight="1" x14ac:dyDescent="0.25">
      <c r="A19" s="15" t="s">
        <v>2159</v>
      </c>
      <c r="B19" s="16" t="s">
        <v>2160</v>
      </c>
      <c r="C19" s="16" t="s">
        <v>2161</v>
      </c>
      <c r="D19" s="16" t="s">
        <v>2162</v>
      </c>
      <c r="E19" s="16" t="s">
        <v>2163</v>
      </c>
      <c r="F19" s="17" t="s">
        <v>15</v>
      </c>
      <c r="G19" s="17"/>
      <c r="H19" s="17"/>
      <c r="I19" s="16"/>
    </row>
    <row r="20" spans="1:9" ht="18" customHeight="1" x14ac:dyDescent="0.25">
      <c r="A20" s="25" t="s">
        <v>2164</v>
      </c>
      <c r="B20" s="26"/>
      <c r="C20" s="26"/>
      <c r="D20" s="26"/>
      <c r="E20" s="26"/>
      <c r="F20" s="26"/>
      <c r="G20" s="26"/>
      <c r="H20" s="26"/>
      <c r="I20" s="26"/>
    </row>
    <row r="21" spans="1:9" ht="54.4" customHeight="1" x14ac:dyDescent="0.25">
      <c r="A21" s="15" t="s">
        <v>719</v>
      </c>
      <c r="B21" s="16" t="s">
        <v>2165</v>
      </c>
      <c r="C21" s="16" t="s">
        <v>2166</v>
      </c>
      <c r="D21" s="16" t="s">
        <v>2167</v>
      </c>
      <c r="E21" s="16" t="s">
        <v>2168</v>
      </c>
      <c r="F21" s="17" t="s">
        <v>15</v>
      </c>
      <c r="G21" s="17"/>
      <c r="H21" s="17"/>
      <c r="I21" s="16"/>
    </row>
    <row r="22" spans="1:9" ht="18" customHeight="1" x14ac:dyDescent="0.25">
      <c r="A22" s="25" t="s">
        <v>2169</v>
      </c>
      <c r="B22" s="26"/>
      <c r="C22" s="26"/>
      <c r="D22" s="26"/>
      <c r="E22" s="26"/>
      <c r="F22" s="26"/>
      <c r="G22" s="26"/>
      <c r="H22" s="26"/>
      <c r="I22" s="26"/>
    </row>
    <row r="23" spans="1:9" ht="66.95" customHeight="1" x14ac:dyDescent="0.25">
      <c r="A23" s="15" t="s">
        <v>722</v>
      </c>
      <c r="B23" s="16" t="s">
        <v>2170</v>
      </c>
      <c r="C23" s="16" t="s">
        <v>2171</v>
      </c>
      <c r="D23" s="16" t="s">
        <v>2172</v>
      </c>
      <c r="E23" s="16" t="s">
        <v>2173</v>
      </c>
      <c r="F23" s="17" t="s">
        <v>15</v>
      </c>
      <c r="G23" s="17"/>
      <c r="H23" s="17"/>
      <c r="I23" s="16"/>
    </row>
    <row r="24" spans="1:9" ht="18" customHeight="1" x14ac:dyDescent="0.25">
      <c r="A24" s="25" t="s">
        <v>2174</v>
      </c>
      <c r="B24" s="26"/>
      <c r="C24" s="26"/>
      <c r="D24" s="26"/>
      <c r="E24" s="26"/>
      <c r="F24" s="26"/>
      <c r="G24" s="26"/>
      <c r="H24" s="26"/>
      <c r="I24" s="26"/>
    </row>
    <row r="25" spans="1:9" ht="54.4" customHeight="1" x14ac:dyDescent="0.25">
      <c r="A25" s="15" t="s">
        <v>2175</v>
      </c>
      <c r="B25" s="16" t="s">
        <v>2176</v>
      </c>
      <c r="C25" s="16" t="s">
        <v>2177</v>
      </c>
      <c r="D25" s="16" t="s">
        <v>2178</v>
      </c>
      <c r="E25" s="16" t="s">
        <v>2179</v>
      </c>
      <c r="F25" s="17" t="s">
        <v>15</v>
      </c>
      <c r="G25" s="17" t="s">
        <v>16</v>
      </c>
      <c r="H25" s="17"/>
      <c r="I25" s="16" t="s">
        <v>2180</v>
      </c>
    </row>
    <row r="26" spans="1:9" ht="54.4" customHeight="1" x14ac:dyDescent="0.25">
      <c r="A26" s="18" t="s">
        <v>2181</v>
      </c>
      <c r="B26" s="19" t="s">
        <v>2182</v>
      </c>
      <c r="C26" s="19" t="s">
        <v>2183</v>
      </c>
      <c r="D26" s="19" t="s">
        <v>2184</v>
      </c>
      <c r="E26" s="19" t="s">
        <v>2185</v>
      </c>
      <c r="F26" s="17"/>
      <c r="G26" s="17"/>
      <c r="H26" s="17"/>
      <c r="I26" s="19" t="s">
        <v>2186</v>
      </c>
    </row>
    <row r="27" spans="1:9" ht="18" customHeight="1" x14ac:dyDescent="0.25">
      <c r="A27" s="25" t="s">
        <v>2187</v>
      </c>
      <c r="B27" s="26"/>
      <c r="C27" s="26"/>
      <c r="D27" s="26"/>
      <c r="E27" s="26"/>
      <c r="F27" s="26"/>
      <c r="G27" s="26"/>
      <c r="H27" s="26"/>
      <c r="I27" s="26"/>
    </row>
    <row r="28" spans="1:9" ht="66.95" customHeight="1" x14ac:dyDescent="0.25">
      <c r="A28" s="15" t="s">
        <v>752</v>
      </c>
      <c r="B28" s="16" t="s">
        <v>2188</v>
      </c>
      <c r="C28" s="16" t="s">
        <v>2189</v>
      </c>
      <c r="D28" s="16" t="s">
        <v>2190</v>
      </c>
      <c r="E28" s="16" t="s">
        <v>2191</v>
      </c>
      <c r="F28" s="17" t="s">
        <v>15</v>
      </c>
      <c r="G28" s="17"/>
      <c r="H28" s="17"/>
      <c r="I28" s="16"/>
    </row>
    <row r="29" spans="1:9" ht="18" customHeight="1" x14ac:dyDescent="0.25">
      <c r="A29" s="25" t="s">
        <v>2192</v>
      </c>
      <c r="B29" s="26"/>
      <c r="C29" s="26"/>
      <c r="D29" s="26"/>
      <c r="E29" s="26"/>
      <c r="F29" s="26"/>
      <c r="G29" s="26"/>
      <c r="H29" s="26"/>
      <c r="I29" s="26"/>
    </row>
    <row r="30" spans="1:9" ht="41.85" customHeight="1" x14ac:dyDescent="0.25">
      <c r="A30" s="15" t="s">
        <v>755</v>
      </c>
      <c r="B30" s="16" t="s">
        <v>2193</v>
      </c>
      <c r="C30" s="16" t="s">
        <v>2194</v>
      </c>
      <c r="D30" s="16" t="s">
        <v>2195</v>
      </c>
      <c r="E30" s="16" t="s">
        <v>2196</v>
      </c>
      <c r="F30" s="17" t="s">
        <v>15</v>
      </c>
      <c r="G30" s="17"/>
      <c r="H30" s="17"/>
      <c r="I30" s="16"/>
    </row>
    <row r="31" spans="1:9" ht="18" customHeight="1" x14ac:dyDescent="0.25">
      <c r="A31" s="25" t="s">
        <v>2197</v>
      </c>
      <c r="B31" s="26"/>
      <c r="C31" s="26"/>
      <c r="D31" s="26"/>
      <c r="E31" s="26"/>
      <c r="F31" s="26"/>
      <c r="G31" s="26"/>
      <c r="H31" s="26"/>
      <c r="I31" s="26"/>
    </row>
    <row r="32" spans="1:9" ht="41.85" customHeight="1" x14ac:dyDescent="0.25">
      <c r="A32" s="15" t="s">
        <v>758</v>
      </c>
      <c r="B32" s="16" t="s">
        <v>2198</v>
      </c>
      <c r="C32" s="16" t="s">
        <v>2199</v>
      </c>
      <c r="D32" s="16" t="s">
        <v>2200</v>
      </c>
      <c r="E32" s="16" t="s">
        <v>2201</v>
      </c>
      <c r="F32" s="17"/>
      <c r="G32" s="17"/>
      <c r="H32" s="17"/>
      <c r="I32" s="16" t="s">
        <v>2202</v>
      </c>
    </row>
    <row r="33" spans="1:9" ht="18" customHeight="1" x14ac:dyDescent="0.25">
      <c r="A33" s="25" t="s">
        <v>2203</v>
      </c>
      <c r="B33" s="26"/>
      <c r="C33" s="26"/>
      <c r="D33" s="26"/>
      <c r="E33" s="26"/>
      <c r="F33" s="26"/>
      <c r="G33" s="26"/>
      <c r="H33" s="26"/>
      <c r="I33" s="26"/>
    </row>
    <row r="34" spans="1:9" ht="54.4" customHeight="1" x14ac:dyDescent="0.25">
      <c r="A34" s="15" t="s">
        <v>761</v>
      </c>
      <c r="B34" s="16" t="s">
        <v>2204</v>
      </c>
      <c r="C34" s="16" t="s">
        <v>2205</v>
      </c>
      <c r="D34" s="16" t="s">
        <v>2206</v>
      </c>
      <c r="E34" s="16" t="s">
        <v>2207</v>
      </c>
      <c r="F34" s="17" t="s">
        <v>15</v>
      </c>
      <c r="G34" s="17"/>
      <c r="H34" s="17"/>
      <c r="I34" s="16"/>
    </row>
    <row r="35" spans="1:9" ht="18" customHeight="1" x14ac:dyDescent="0.25">
      <c r="A35" s="25" t="s">
        <v>2208</v>
      </c>
      <c r="B35" s="26"/>
      <c r="C35" s="26"/>
      <c r="D35" s="26"/>
      <c r="E35" s="26"/>
      <c r="F35" s="26"/>
      <c r="G35" s="26"/>
      <c r="H35" s="26"/>
      <c r="I35" s="26"/>
    </row>
    <row r="36" spans="1:9" ht="41.85" customHeight="1" x14ac:dyDescent="0.25">
      <c r="A36" s="15" t="s">
        <v>2209</v>
      </c>
      <c r="B36" s="16" t="s">
        <v>2210</v>
      </c>
      <c r="C36" s="16" t="s">
        <v>2211</v>
      </c>
      <c r="D36" s="16" t="s">
        <v>2212</v>
      </c>
      <c r="E36" s="16" t="s">
        <v>2213</v>
      </c>
      <c r="F36" s="17" t="s">
        <v>15</v>
      </c>
      <c r="G36" s="17"/>
      <c r="H36" s="17"/>
      <c r="I36" s="16"/>
    </row>
    <row r="37" spans="1:9" ht="18" customHeight="1" x14ac:dyDescent="0.25">
      <c r="A37" s="18" t="s">
        <v>2214</v>
      </c>
      <c r="B37" s="19" t="s">
        <v>2215</v>
      </c>
      <c r="C37" s="19" t="s">
        <v>2216</v>
      </c>
      <c r="D37" s="19" t="s">
        <v>2217</v>
      </c>
      <c r="E37" s="19" t="s">
        <v>2218</v>
      </c>
      <c r="F37" s="17" t="s">
        <v>15</v>
      </c>
      <c r="G37" s="17"/>
      <c r="H37" s="17"/>
      <c r="I37" s="19"/>
    </row>
    <row r="38" spans="1:9" ht="66.95" customHeight="1" x14ac:dyDescent="0.25"/>
    <row r="39" spans="1:9" ht="54.4" customHeight="1" x14ac:dyDescent="0.25"/>
  </sheetData>
  <mergeCells count="13">
    <mergeCell ref="A35:I35"/>
    <mergeCell ref="A29:I29"/>
    <mergeCell ref="A2:I2"/>
    <mergeCell ref="A33:I33"/>
    <mergeCell ref="A10:I10"/>
    <mergeCell ref="A27:I27"/>
    <mergeCell ref="A31:I31"/>
    <mergeCell ref="A6:I6"/>
    <mergeCell ref="A22:I22"/>
    <mergeCell ref="A12:I12"/>
    <mergeCell ref="A20:I20"/>
    <mergeCell ref="A24:I24"/>
    <mergeCell ref="A16:I16"/>
  </mergeCells>
  <dataValidations count="1">
    <dataValidation type="list" allowBlank="1" sqref="F3:F5 F7:F9 F11 F13:F15 F17:F19 F21 F23 F25:F26 F28 F30 F32 F34 F36 F38:F39" xr:uid="{00000000-0002-0000-1000-000000000000}">
      <formula1>"Pass,Fail,N/A"</formula1>
    </dataValidation>
  </dataValidations>
  <pageMargins left="0.7" right="0.7" top="0.75" bottom="0.75" header="0.3" footer="0.3"/>
  <pageSetup orientation="portrait" horizontalDpi="4294967295" verticalDpi="429496729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8"/>
  <sheetViews>
    <sheetView workbookViewId="0">
      <pane ySplit="1" topLeftCell="A2" activePane="bottomLeft" state="frozen"/>
      <selection pane="bottomLeft"/>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2219</v>
      </c>
      <c r="B2" s="26"/>
      <c r="C2" s="26"/>
      <c r="D2" s="26"/>
      <c r="E2" s="26"/>
      <c r="F2" s="26"/>
      <c r="G2" s="26"/>
      <c r="H2" s="26"/>
      <c r="I2" s="26"/>
    </row>
    <row r="3" spans="1:9" ht="41.85" customHeight="1" x14ac:dyDescent="0.25">
      <c r="A3" s="15" t="s">
        <v>2220</v>
      </c>
      <c r="B3" s="16" t="s">
        <v>2221</v>
      </c>
      <c r="C3" s="16" t="s">
        <v>2222</v>
      </c>
      <c r="D3" s="16" t="s">
        <v>2223</v>
      </c>
      <c r="E3" s="16" t="s">
        <v>2224</v>
      </c>
      <c r="F3" s="17" t="s">
        <v>15</v>
      </c>
      <c r="G3" s="17" t="s">
        <v>16</v>
      </c>
      <c r="H3" s="17"/>
      <c r="I3" s="16" t="s">
        <v>2225</v>
      </c>
    </row>
    <row r="4" spans="1:9" ht="41.85" customHeight="1" x14ac:dyDescent="0.25">
      <c r="A4" s="18" t="s">
        <v>2226</v>
      </c>
      <c r="B4" s="19" t="s">
        <v>2227</v>
      </c>
      <c r="C4" s="19" t="s">
        <v>2228</v>
      </c>
      <c r="D4" s="19" t="s">
        <v>2229</v>
      </c>
      <c r="E4" s="19" t="s">
        <v>2230</v>
      </c>
      <c r="F4" s="17"/>
      <c r="G4" s="17"/>
      <c r="H4" s="17"/>
      <c r="I4" s="19" t="s">
        <v>2231</v>
      </c>
    </row>
    <row r="5" spans="1:9" ht="18" customHeight="1" x14ac:dyDescent="0.25">
      <c r="A5" s="25" t="s">
        <v>2232</v>
      </c>
      <c r="B5" s="26"/>
      <c r="C5" s="26"/>
      <c r="D5" s="26"/>
      <c r="E5" s="26"/>
      <c r="F5" s="26"/>
      <c r="G5" s="26"/>
      <c r="H5" s="26"/>
      <c r="I5" s="26"/>
    </row>
    <row r="6" spans="1:9" ht="54.4" customHeight="1" x14ac:dyDescent="0.25">
      <c r="A6" s="15" t="s">
        <v>554</v>
      </c>
      <c r="B6" s="16" t="s">
        <v>2233</v>
      </c>
      <c r="C6" s="16" t="s">
        <v>2234</v>
      </c>
      <c r="D6" s="16" t="s">
        <v>2235</v>
      </c>
      <c r="E6" s="16" t="s">
        <v>2236</v>
      </c>
      <c r="F6" s="17"/>
      <c r="G6" s="17"/>
      <c r="H6" s="17"/>
      <c r="I6" s="16" t="s">
        <v>2237</v>
      </c>
    </row>
    <row r="7" spans="1:9" ht="18" customHeight="1" x14ac:dyDescent="0.25">
      <c r="A7" s="36" t="s">
        <v>235</v>
      </c>
      <c r="B7" s="26"/>
      <c r="C7" s="26"/>
      <c r="D7" s="26"/>
      <c r="E7" s="26"/>
      <c r="F7" s="26"/>
      <c r="G7" s="26"/>
      <c r="H7" s="26"/>
      <c r="I7" s="26"/>
    </row>
    <row r="8" spans="1:9" ht="41.85" customHeight="1" x14ac:dyDescent="0.25">
      <c r="A8" s="15" t="s">
        <v>2238</v>
      </c>
      <c r="B8" s="16" t="s">
        <v>2239</v>
      </c>
      <c r="C8" s="16" t="s">
        <v>2240</v>
      </c>
      <c r="D8" s="16" t="s">
        <v>2241</v>
      </c>
      <c r="E8" s="16" t="s">
        <v>2242</v>
      </c>
      <c r="F8" s="17"/>
      <c r="G8" s="17"/>
      <c r="H8" s="17"/>
      <c r="I8" s="16" t="s">
        <v>2243</v>
      </c>
    </row>
  </sheetData>
  <mergeCells count="3">
    <mergeCell ref="A5:I5"/>
    <mergeCell ref="A2:I2"/>
    <mergeCell ref="A7:I7"/>
  </mergeCells>
  <dataValidations count="1">
    <dataValidation type="list" allowBlank="1" sqref="F3:F4 F6 F8" xr:uid="{00000000-0002-0000-1100-000000000000}">
      <formula1>"Pass,Fail,N/A"</formula1>
    </dataValidation>
  </dataValidation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46"/>
  <sheetViews>
    <sheetView workbookViewId="0">
      <pane ySplit="1" topLeftCell="A36" activePane="bottomLeft" state="frozen"/>
      <selection pane="bottomLeft"/>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2244</v>
      </c>
      <c r="B2" s="26"/>
      <c r="C2" s="26"/>
      <c r="D2" s="26"/>
      <c r="E2" s="26"/>
      <c r="F2" s="26"/>
      <c r="G2" s="26"/>
      <c r="H2" s="26"/>
      <c r="I2" s="26"/>
    </row>
    <row r="3" spans="1:9" ht="41.85" customHeight="1" x14ac:dyDescent="0.25">
      <c r="A3" s="15" t="s">
        <v>2245</v>
      </c>
      <c r="B3" s="16" t="s">
        <v>2246</v>
      </c>
      <c r="C3" s="16" t="s">
        <v>217</v>
      </c>
      <c r="D3" s="16" t="s">
        <v>2247</v>
      </c>
      <c r="E3" s="16" t="s">
        <v>2248</v>
      </c>
      <c r="F3" s="17" t="s">
        <v>15</v>
      </c>
      <c r="G3" s="17" t="s">
        <v>16</v>
      </c>
      <c r="H3" s="17"/>
      <c r="I3" s="16" t="s">
        <v>2249</v>
      </c>
    </row>
    <row r="4" spans="1:9" ht="41.85" customHeight="1" x14ac:dyDescent="0.25">
      <c r="A4" s="18" t="s">
        <v>2250</v>
      </c>
      <c r="B4" s="19" t="s">
        <v>2246</v>
      </c>
      <c r="C4" s="19" t="s">
        <v>217</v>
      </c>
      <c r="D4" s="19" t="s">
        <v>2251</v>
      </c>
      <c r="E4" s="19" t="s">
        <v>2252</v>
      </c>
      <c r="F4" s="17" t="s">
        <v>15</v>
      </c>
      <c r="G4" s="17" t="s">
        <v>16</v>
      </c>
      <c r="H4" s="17"/>
      <c r="I4" s="19" t="s">
        <v>2253</v>
      </c>
    </row>
    <row r="5" spans="1:9" ht="18" customHeight="1" x14ac:dyDescent="0.25">
      <c r="A5" s="25" t="s">
        <v>2254</v>
      </c>
      <c r="B5" s="26"/>
      <c r="C5" s="26"/>
      <c r="D5" s="26"/>
      <c r="E5" s="26"/>
      <c r="F5" s="26"/>
      <c r="G5" s="26"/>
      <c r="H5" s="26"/>
      <c r="I5" s="26"/>
    </row>
    <row r="6" spans="1:9" ht="41.85" customHeight="1" x14ac:dyDescent="0.25">
      <c r="A6" s="15" t="s">
        <v>2255</v>
      </c>
      <c r="B6" s="16" t="s">
        <v>2256</v>
      </c>
      <c r="C6" s="16" t="s">
        <v>2257</v>
      </c>
      <c r="D6" s="16" t="s">
        <v>2258</v>
      </c>
      <c r="E6" s="16" t="s">
        <v>2259</v>
      </c>
      <c r="F6" s="17" t="s">
        <v>15</v>
      </c>
      <c r="G6" s="17" t="s">
        <v>16</v>
      </c>
      <c r="H6" s="17"/>
      <c r="I6" s="16" t="s">
        <v>2260</v>
      </c>
    </row>
    <row r="7" spans="1:9" ht="104.85" customHeight="1" x14ac:dyDescent="0.25">
      <c r="A7" s="18" t="s">
        <v>2261</v>
      </c>
      <c r="B7" s="19" t="s">
        <v>2256</v>
      </c>
      <c r="C7" s="19" t="s">
        <v>2262</v>
      </c>
      <c r="D7" s="19" t="s">
        <v>2263</v>
      </c>
      <c r="E7" s="19" t="s">
        <v>2264</v>
      </c>
      <c r="F7" s="17" t="s">
        <v>15</v>
      </c>
      <c r="G7" s="17" t="s">
        <v>16</v>
      </c>
      <c r="H7" s="17"/>
      <c r="I7" s="19" t="s">
        <v>2265</v>
      </c>
    </row>
    <row r="8" spans="1:9" ht="18" customHeight="1" x14ac:dyDescent="0.25">
      <c r="A8" s="25" t="s">
        <v>2266</v>
      </c>
      <c r="B8" s="26"/>
      <c r="C8" s="26"/>
      <c r="D8" s="26"/>
      <c r="E8" s="26"/>
      <c r="F8" s="26"/>
      <c r="G8" s="26"/>
      <c r="H8" s="26"/>
      <c r="I8" s="26"/>
    </row>
    <row r="9" spans="1:9" ht="41.85" customHeight="1" x14ac:dyDescent="0.25">
      <c r="A9" s="15" t="s">
        <v>619</v>
      </c>
      <c r="B9" s="16" t="s">
        <v>2267</v>
      </c>
      <c r="C9" s="16" t="s">
        <v>2268</v>
      </c>
      <c r="D9" s="16" t="s">
        <v>2269</v>
      </c>
      <c r="E9" s="16" t="s">
        <v>2270</v>
      </c>
      <c r="F9" s="17"/>
      <c r="G9" s="17"/>
      <c r="H9" s="17"/>
      <c r="I9" s="16" t="s">
        <v>2271</v>
      </c>
    </row>
    <row r="10" spans="1:9" ht="18" customHeight="1" x14ac:dyDescent="0.25">
      <c r="A10" s="25" t="s">
        <v>2272</v>
      </c>
      <c r="B10" s="26"/>
      <c r="C10" s="26"/>
      <c r="D10" s="26"/>
      <c r="E10" s="26"/>
      <c r="F10" s="26"/>
      <c r="G10" s="26"/>
      <c r="H10" s="26"/>
      <c r="I10" s="26"/>
    </row>
    <row r="11" spans="1:9" ht="29.25" customHeight="1" x14ac:dyDescent="0.25">
      <c r="A11" s="15" t="s">
        <v>2273</v>
      </c>
      <c r="B11" s="16" t="s">
        <v>2274</v>
      </c>
      <c r="C11" s="16" t="s">
        <v>2275</v>
      </c>
      <c r="D11" s="16" t="s">
        <v>2276</v>
      </c>
      <c r="E11" s="16" t="s">
        <v>2277</v>
      </c>
      <c r="F11" s="17" t="s">
        <v>15</v>
      </c>
      <c r="G11" s="17" t="s">
        <v>16</v>
      </c>
      <c r="H11" s="17"/>
      <c r="I11" s="16" t="s">
        <v>2278</v>
      </c>
    </row>
    <row r="12" spans="1:9" ht="29.25" customHeight="1" x14ac:dyDescent="0.25">
      <c r="A12" s="18" t="s">
        <v>2279</v>
      </c>
      <c r="B12" s="19" t="s">
        <v>2274</v>
      </c>
      <c r="C12" s="19" t="s">
        <v>2280</v>
      </c>
      <c r="D12" s="19" t="s">
        <v>2281</v>
      </c>
      <c r="E12" s="19" t="s">
        <v>2282</v>
      </c>
      <c r="F12" s="17" t="s">
        <v>15</v>
      </c>
      <c r="G12" s="17" t="s">
        <v>16</v>
      </c>
      <c r="H12" s="17"/>
      <c r="I12" s="19" t="s">
        <v>2283</v>
      </c>
    </row>
    <row r="13" spans="1:9" ht="18" customHeight="1" x14ac:dyDescent="0.25">
      <c r="A13" s="25" t="s">
        <v>2284</v>
      </c>
      <c r="B13" s="26"/>
      <c r="C13" s="26"/>
      <c r="D13" s="26"/>
      <c r="E13" s="26"/>
      <c r="F13" s="26"/>
      <c r="G13" s="26"/>
      <c r="H13" s="26"/>
      <c r="I13" s="26"/>
    </row>
    <row r="14" spans="1:9" ht="41.85" customHeight="1" x14ac:dyDescent="0.25">
      <c r="A14" s="15" t="s">
        <v>803</v>
      </c>
      <c r="B14" s="16" t="s">
        <v>2285</v>
      </c>
      <c r="C14" s="16" t="s">
        <v>2280</v>
      </c>
      <c r="D14" s="16" t="s">
        <v>2286</v>
      </c>
      <c r="E14" s="16" t="s">
        <v>2287</v>
      </c>
      <c r="F14" s="17" t="s">
        <v>15</v>
      </c>
      <c r="G14" s="17" t="s">
        <v>16</v>
      </c>
      <c r="H14" s="17"/>
      <c r="I14" s="16" t="s">
        <v>2288</v>
      </c>
    </row>
    <row r="15" spans="1:9" ht="18" customHeight="1" x14ac:dyDescent="0.25">
      <c r="A15" s="25" t="s">
        <v>2289</v>
      </c>
      <c r="B15" s="26"/>
      <c r="C15" s="26"/>
      <c r="D15" s="26"/>
      <c r="E15" s="26"/>
      <c r="F15" s="26"/>
      <c r="G15" s="26"/>
      <c r="H15" s="26"/>
      <c r="I15" s="26"/>
    </row>
    <row r="16" spans="1:9" ht="41.85" customHeight="1" x14ac:dyDescent="0.25">
      <c r="A16" s="15" t="s">
        <v>2290</v>
      </c>
      <c r="B16" s="16" t="s">
        <v>2291</v>
      </c>
      <c r="C16" s="16" t="s">
        <v>2292</v>
      </c>
      <c r="D16" s="16" t="s">
        <v>2293</v>
      </c>
      <c r="E16" s="16" t="s">
        <v>2294</v>
      </c>
      <c r="F16" s="17" t="s">
        <v>15</v>
      </c>
      <c r="G16" s="17" t="s">
        <v>16</v>
      </c>
      <c r="H16" s="17"/>
      <c r="I16" s="16" t="s">
        <v>2295</v>
      </c>
    </row>
    <row r="17" spans="1:9" ht="29.25" customHeight="1" x14ac:dyDescent="0.25">
      <c r="A17" s="18" t="s">
        <v>2296</v>
      </c>
      <c r="B17" s="19" t="s">
        <v>2291</v>
      </c>
      <c r="C17" s="19" t="s">
        <v>2297</v>
      </c>
      <c r="D17" s="19" t="s">
        <v>2298</v>
      </c>
      <c r="E17" s="19" t="s">
        <v>2299</v>
      </c>
      <c r="F17" s="17" t="s">
        <v>15</v>
      </c>
      <c r="G17" s="17" t="s">
        <v>16</v>
      </c>
      <c r="H17" s="17"/>
      <c r="I17" s="19" t="s">
        <v>2300</v>
      </c>
    </row>
    <row r="18" spans="1:9" ht="18" customHeight="1" x14ac:dyDescent="0.25">
      <c r="A18" s="25" t="s">
        <v>2301</v>
      </c>
      <c r="B18" s="26"/>
      <c r="C18" s="26"/>
      <c r="D18" s="26"/>
      <c r="E18" s="26"/>
      <c r="F18" s="26"/>
      <c r="G18" s="26"/>
      <c r="H18" s="26"/>
      <c r="I18" s="26"/>
    </row>
    <row r="19" spans="1:9" ht="41.85" customHeight="1" x14ac:dyDescent="0.25">
      <c r="A19" s="15" t="s">
        <v>822</v>
      </c>
      <c r="B19" s="16" t="s">
        <v>2302</v>
      </c>
      <c r="C19" s="16" t="s">
        <v>2303</v>
      </c>
      <c r="D19" s="16" t="s">
        <v>2304</v>
      </c>
      <c r="E19" s="16" t="s">
        <v>2305</v>
      </c>
      <c r="F19" s="17" t="s">
        <v>15</v>
      </c>
      <c r="G19" s="17" t="s">
        <v>16</v>
      </c>
      <c r="H19" s="17"/>
      <c r="I19" s="16" t="s">
        <v>2306</v>
      </c>
    </row>
    <row r="20" spans="1:9" ht="18" customHeight="1" x14ac:dyDescent="0.25">
      <c r="A20" s="25" t="s">
        <v>2307</v>
      </c>
      <c r="B20" s="26"/>
      <c r="C20" s="26"/>
      <c r="D20" s="26"/>
      <c r="E20" s="26"/>
      <c r="F20" s="26"/>
      <c r="G20" s="26"/>
      <c r="H20" s="26"/>
      <c r="I20" s="26"/>
    </row>
    <row r="21" spans="1:9" ht="41.85" customHeight="1" x14ac:dyDescent="0.25">
      <c r="A21" s="15" t="s">
        <v>826</v>
      </c>
      <c r="B21" s="16" t="s">
        <v>2308</v>
      </c>
      <c r="C21" s="16" t="s">
        <v>2309</v>
      </c>
      <c r="D21" s="16" t="s">
        <v>2310</v>
      </c>
      <c r="E21" s="16" t="s">
        <v>2311</v>
      </c>
      <c r="F21" s="17" t="s">
        <v>15</v>
      </c>
      <c r="G21" s="17" t="s">
        <v>16</v>
      </c>
      <c r="H21" s="17"/>
      <c r="I21" s="16" t="s">
        <v>2312</v>
      </c>
    </row>
    <row r="22" spans="1:9" ht="18" customHeight="1" x14ac:dyDescent="0.25">
      <c r="A22" s="25" t="s">
        <v>2313</v>
      </c>
      <c r="B22" s="26"/>
      <c r="C22" s="26"/>
      <c r="D22" s="26"/>
      <c r="E22" s="26"/>
      <c r="F22" s="26"/>
      <c r="G22" s="26"/>
      <c r="H22" s="26"/>
      <c r="I22" s="26"/>
    </row>
    <row r="23" spans="1:9" ht="29.25" customHeight="1" x14ac:dyDescent="0.25">
      <c r="A23" s="15" t="s">
        <v>830</v>
      </c>
      <c r="B23" s="16" t="s">
        <v>2314</v>
      </c>
      <c r="C23" s="16" t="s">
        <v>2315</v>
      </c>
      <c r="D23" s="16" t="s">
        <v>2316</v>
      </c>
      <c r="E23" s="16" t="s">
        <v>2317</v>
      </c>
      <c r="F23" s="17" t="s">
        <v>15</v>
      </c>
      <c r="G23" s="17" t="s">
        <v>16</v>
      </c>
      <c r="H23" s="17"/>
      <c r="I23" s="16" t="s">
        <v>2318</v>
      </c>
    </row>
    <row r="24" spans="1:9" ht="18" customHeight="1" x14ac:dyDescent="0.25">
      <c r="A24" s="25" t="s">
        <v>2319</v>
      </c>
      <c r="B24" s="26"/>
      <c r="C24" s="26"/>
      <c r="D24" s="26"/>
      <c r="E24" s="26"/>
      <c r="F24" s="26"/>
      <c r="G24" s="26"/>
      <c r="H24" s="26"/>
      <c r="I24" s="26"/>
    </row>
    <row r="25" spans="1:9" ht="41.85" customHeight="1" x14ac:dyDescent="0.25">
      <c r="A25" s="15" t="s">
        <v>833</v>
      </c>
      <c r="B25" s="16" t="s">
        <v>2320</v>
      </c>
      <c r="C25" s="16" t="s">
        <v>2321</v>
      </c>
      <c r="D25" s="16" t="s">
        <v>2322</v>
      </c>
      <c r="E25" s="16" t="s">
        <v>2323</v>
      </c>
      <c r="F25" s="17" t="s">
        <v>15</v>
      </c>
      <c r="G25" s="17" t="s">
        <v>16</v>
      </c>
      <c r="H25" s="17"/>
      <c r="I25" s="16" t="s">
        <v>2324</v>
      </c>
    </row>
    <row r="26" spans="1:9" ht="18" customHeight="1" x14ac:dyDescent="0.25">
      <c r="A26" s="25" t="s">
        <v>2325</v>
      </c>
      <c r="B26" s="26"/>
      <c r="C26" s="26"/>
      <c r="D26" s="26"/>
      <c r="E26" s="26"/>
      <c r="F26" s="26"/>
      <c r="G26" s="26"/>
      <c r="H26" s="26"/>
      <c r="I26" s="26"/>
    </row>
    <row r="27" spans="1:9" ht="41.85" customHeight="1" x14ac:dyDescent="0.25">
      <c r="A27" s="15" t="s">
        <v>836</v>
      </c>
      <c r="B27" s="16" t="s">
        <v>2326</v>
      </c>
      <c r="C27" s="16" t="s">
        <v>2327</v>
      </c>
      <c r="D27" s="16" t="s">
        <v>2328</v>
      </c>
      <c r="E27" s="16" t="s">
        <v>2329</v>
      </c>
      <c r="F27" s="17" t="s">
        <v>15</v>
      </c>
      <c r="G27" s="17" t="s">
        <v>16</v>
      </c>
      <c r="H27" s="17"/>
      <c r="I27" s="16" t="s">
        <v>2330</v>
      </c>
    </row>
    <row r="28" spans="1:9" ht="18" customHeight="1" x14ac:dyDescent="0.25">
      <c r="A28" s="25" t="s">
        <v>2331</v>
      </c>
      <c r="B28" s="26"/>
      <c r="C28" s="26"/>
      <c r="D28" s="26"/>
      <c r="E28" s="26"/>
      <c r="F28" s="26"/>
      <c r="G28" s="26"/>
      <c r="H28" s="26"/>
      <c r="I28" s="26"/>
    </row>
    <row r="29" spans="1:9" ht="29.25" customHeight="1" x14ac:dyDescent="0.25">
      <c r="A29" s="15" t="s">
        <v>839</v>
      </c>
      <c r="B29" s="16" t="s">
        <v>2332</v>
      </c>
      <c r="C29" s="16" t="s">
        <v>2333</v>
      </c>
      <c r="D29" s="16" t="s">
        <v>2334</v>
      </c>
      <c r="E29" s="16" t="s">
        <v>2335</v>
      </c>
      <c r="F29" s="17" t="s">
        <v>15</v>
      </c>
      <c r="G29" s="17" t="s">
        <v>16</v>
      </c>
      <c r="H29" s="17"/>
      <c r="I29" s="16" t="s">
        <v>2336</v>
      </c>
    </row>
    <row r="30" spans="1:9" ht="18" customHeight="1" x14ac:dyDescent="0.25">
      <c r="A30" s="25" t="s">
        <v>2337</v>
      </c>
      <c r="B30" s="26"/>
      <c r="C30" s="26"/>
      <c r="D30" s="26"/>
      <c r="E30" s="26"/>
      <c r="F30" s="26"/>
      <c r="G30" s="26"/>
      <c r="H30" s="26"/>
      <c r="I30" s="26"/>
    </row>
    <row r="31" spans="1:9" ht="41.85" customHeight="1" x14ac:dyDescent="0.25">
      <c r="A31" s="15" t="s">
        <v>2338</v>
      </c>
      <c r="B31" s="16" t="s">
        <v>2339</v>
      </c>
      <c r="C31" s="16" t="s">
        <v>2340</v>
      </c>
      <c r="D31" s="16" t="s">
        <v>2341</v>
      </c>
      <c r="E31" s="16" t="s">
        <v>2342</v>
      </c>
      <c r="F31" s="17" t="s">
        <v>15</v>
      </c>
      <c r="G31" s="17" t="s">
        <v>16</v>
      </c>
      <c r="H31" s="17"/>
      <c r="I31" s="16" t="s">
        <v>2343</v>
      </c>
    </row>
    <row r="32" spans="1:9" ht="54.4" customHeight="1" x14ac:dyDescent="0.25">
      <c r="A32" s="18" t="s">
        <v>2344</v>
      </c>
      <c r="B32" s="19" t="s">
        <v>2339</v>
      </c>
      <c r="C32" s="19" t="s">
        <v>2345</v>
      </c>
      <c r="D32" s="19" t="s">
        <v>2346</v>
      </c>
      <c r="E32" s="19" t="s">
        <v>2347</v>
      </c>
      <c r="F32" s="17" t="s">
        <v>15</v>
      </c>
      <c r="G32" s="17" t="s">
        <v>16</v>
      </c>
      <c r="H32" s="17"/>
      <c r="I32" s="19" t="s">
        <v>2348</v>
      </c>
    </row>
    <row r="33" spans="1:9" ht="29.25" customHeight="1" x14ac:dyDescent="0.25">
      <c r="A33" s="15" t="s">
        <v>2349</v>
      </c>
      <c r="B33" s="16" t="s">
        <v>2339</v>
      </c>
      <c r="C33" s="16" t="s">
        <v>2309</v>
      </c>
      <c r="D33" s="16" t="s">
        <v>2350</v>
      </c>
      <c r="E33" s="16" t="s">
        <v>2351</v>
      </c>
      <c r="F33" s="17" t="s">
        <v>15</v>
      </c>
      <c r="G33" s="17" t="s">
        <v>16</v>
      </c>
      <c r="H33" s="17"/>
      <c r="I33" s="16" t="s">
        <v>2352</v>
      </c>
    </row>
    <row r="34" spans="1:9" ht="18" customHeight="1" x14ac:dyDescent="0.25">
      <c r="A34" s="25" t="s">
        <v>2353</v>
      </c>
      <c r="B34" s="26"/>
      <c r="C34" s="26"/>
      <c r="D34" s="26"/>
      <c r="E34" s="26"/>
      <c r="F34" s="26"/>
      <c r="G34" s="26"/>
      <c r="H34" s="26"/>
      <c r="I34" s="26"/>
    </row>
    <row r="35" spans="1:9" ht="41.85" customHeight="1" x14ac:dyDescent="0.25">
      <c r="A35" s="15" t="s">
        <v>2354</v>
      </c>
      <c r="B35" s="16" t="s">
        <v>2355</v>
      </c>
      <c r="C35" s="16" t="s">
        <v>2356</v>
      </c>
      <c r="D35" s="16" t="s">
        <v>2357</v>
      </c>
      <c r="E35" s="16" t="s">
        <v>2358</v>
      </c>
      <c r="F35" s="17" t="s">
        <v>15</v>
      </c>
      <c r="G35" s="17" t="s">
        <v>16</v>
      </c>
      <c r="H35" s="17"/>
      <c r="I35" s="16" t="s">
        <v>2359</v>
      </c>
    </row>
    <row r="36" spans="1:9" ht="29.25" customHeight="1" x14ac:dyDescent="0.25">
      <c r="A36" s="18" t="s">
        <v>2360</v>
      </c>
      <c r="B36" s="19" t="s">
        <v>2355</v>
      </c>
      <c r="C36" s="19" t="s">
        <v>2361</v>
      </c>
      <c r="D36" s="19" t="s">
        <v>2362</v>
      </c>
      <c r="E36" s="19" t="s">
        <v>2363</v>
      </c>
      <c r="F36" s="17" t="s">
        <v>15</v>
      </c>
      <c r="G36" s="17" t="s">
        <v>16</v>
      </c>
      <c r="H36" s="17"/>
      <c r="I36" s="19" t="s">
        <v>2364</v>
      </c>
    </row>
    <row r="37" spans="1:9" ht="18" customHeight="1" x14ac:dyDescent="0.25">
      <c r="A37" s="25" t="s">
        <v>2365</v>
      </c>
      <c r="B37" s="26"/>
      <c r="C37" s="26"/>
      <c r="D37" s="26"/>
      <c r="E37" s="26"/>
      <c r="F37" s="26"/>
      <c r="G37" s="26"/>
      <c r="H37" s="26"/>
      <c r="I37" s="26"/>
    </row>
    <row r="38" spans="1:9" ht="66.95" customHeight="1" x14ac:dyDescent="0.25">
      <c r="A38" s="15" t="s">
        <v>860</v>
      </c>
      <c r="B38" s="16" t="s">
        <v>2366</v>
      </c>
      <c r="C38" s="16" t="s">
        <v>2367</v>
      </c>
      <c r="D38" s="16" t="s">
        <v>2368</v>
      </c>
      <c r="E38" s="16" t="s">
        <v>2369</v>
      </c>
      <c r="F38" s="17" t="s">
        <v>15</v>
      </c>
      <c r="G38" s="17" t="s">
        <v>16</v>
      </c>
      <c r="H38" s="17"/>
      <c r="I38" s="16" t="s">
        <v>2370</v>
      </c>
    </row>
    <row r="39" spans="1:9" ht="18" customHeight="1" x14ac:dyDescent="0.25">
      <c r="A39" s="25" t="s">
        <v>2371</v>
      </c>
      <c r="B39" s="26"/>
      <c r="C39" s="26"/>
      <c r="D39" s="26"/>
      <c r="E39" s="26"/>
      <c r="F39" s="26"/>
      <c r="G39" s="26"/>
      <c r="H39" s="26"/>
      <c r="I39" s="26"/>
    </row>
    <row r="40" spans="1:9" ht="41.85" customHeight="1" x14ac:dyDescent="0.25">
      <c r="A40" s="15" t="s">
        <v>865</v>
      </c>
      <c r="B40" s="16" t="s">
        <v>2372</v>
      </c>
      <c r="C40" s="16" t="s">
        <v>2373</v>
      </c>
      <c r="D40" s="16" t="s">
        <v>2374</v>
      </c>
      <c r="E40" s="16" t="s">
        <v>2375</v>
      </c>
      <c r="F40" s="17" t="s">
        <v>15</v>
      </c>
      <c r="G40" s="17" t="s">
        <v>16</v>
      </c>
      <c r="H40" s="17"/>
      <c r="I40" s="16" t="s">
        <v>2376</v>
      </c>
    </row>
    <row r="41" spans="1:9" ht="18" customHeight="1" x14ac:dyDescent="0.25">
      <c r="A41" s="25" t="s">
        <v>2377</v>
      </c>
      <c r="B41" s="26"/>
      <c r="C41" s="26"/>
      <c r="D41" s="26"/>
      <c r="E41" s="26"/>
      <c r="F41" s="26"/>
      <c r="G41" s="26"/>
      <c r="H41" s="26"/>
      <c r="I41" s="26"/>
    </row>
    <row r="42" spans="1:9" ht="41.85" customHeight="1" x14ac:dyDescent="0.25">
      <c r="A42" s="15" t="s">
        <v>869</v>
      </c>
      <c r="B42" s="16" t="s">
        <v>2378</v>
      </c>
      <c r="C42" s="16" t="s">
        <v>2379</v>
      </c>
      <c r="D42" s="16" t="s">
        <v>2380</v>
      </c>
      <c r="E42" s="16" t="s">
        <v>2381</v>
      </c>
      <c r="F42" s="17"/>
      <c r="G42" s="17"/>
      <c r="H42" s="17"/>
      <c r="I42" s="16" t="s">
        <v>2382</v>
      </c>
    </row>
    <row r="43" spans="1:9" ht="18" customHeight="1" x14ac:dyDescent="0.25">
      <c r="A43" s="25" t="s">
        <v>2383</v>
      </c>
      <c r="B43" s="26"/>
      <c r="C43" s="26"/>
      <c r="D43" s="26"/>
      <c r="E43" s="26"/>
      <c r="F43" s="26"/>
      <c r="G43" s="26"/>
      <c r="H43" s="26"/>
      <c r="I43" s="26"/>
    </row>
    <row r="44" spans="1:9" ht="15" customHeight="1" x14ac:dyDescent="0.25">
      <c r="A44" s="37" t="s">
        <v>1201</v>
      </c>
      <c r="B44" s="26"/>
      <c r="C44" s="26"/>
      <c r="D44" s="26"/>
      <c r="E44" s="26"/>
      <c r="F44" s="26"/>
      <c r="G44" s="26"/>
      <c r="H44" s="26"/>
      <c r="I44" s="26"/>
    </row>
    <row r="45" spans="1:9" ht="18" customHeight="1" x14ac:dyDescent="0.25">
      <c r="A45" s="36" t="s">
        <v>235</v>
      </c>
      <c r="B45" s="26"/>
      <c r="C45" s="26"/>
      <c r="D45" s="26"/>
      <c r="E45" s="26"/>
      <c r="F45" s="26"/>
      <c r="G45" s="26"/>
      <c r="H45" s="26"/>
      <c r="I45" s="26"/>
    </row>
    <row r="46" spans="1:9" ht="29.25" customHeight="1" x14ac:dyDescent="0.25">
      <c r="A46" s="15" t="s">
        <v>2384</v>
      </c>
      <c r="B46" s="16" t="s">
        <v>2385</v>
      </c>
      <c r="C46" s="16" t="s">
        <v>133</v>
      </c>
      <c r="D46" s="16" t="s">
        <v>2386</v>
      </c>
      <c r="E46" s="16" t="s">
        <v>2387</v>
      </c>
      <c r="F46" s="17"/>
      <c r="G46" s="17"/>
      <c r="H46" s="17"/>
      <c r="I46" s="16" t="s">
        <v>2388</v>
      </c>
    </row>
  </sheetData>
  <mergeCells count="20">
    <mergeCell ref="A45:I45"/>
    <mergeCell ref="A43:I43"/>
    <mergeCell ref="A10:I10"/>
    <mergeCell ref="A28:I28"/>
    <mergeCell ref="A13:I13"/>
    <mergeCell ref="A44:I44"/>
    <mergeCell ref="A39:I39"/>
    <mergeCell ref="A34:I34"/>
    <mergeCell ref="A30:I30"/>
    <mergeCell ref="A24:I24"/>
    <mergeCell ref="A15:I15"/>
    <mergeCell ref="A41:I41"/>
    <mergeCell ref="A37:I37"/>
    <mergeCell ref="A18:I18"/>
    <mergeCell ref="A26:I26"/>
    <mergeCell ref="A2:I2"/>
    <mergeCell ref="A5:I5"/>
    <mergeCell ref="A8:I8"/>
    <mergeCell ref="A22:I22"/>
    <mergeCell ref="A20:I20"/>
  </mergeCells>
  <dataValidations count="1">
    <dataValidation type="list" allowBlank="1" sqref="F3:F4 F6:F7 F9 F11:F12 F14 F16:F17 F19 F21 F23 F25 F27 F29 F31:F33 F35:F36 F38 F40 F42 F46" xr:uid="{00000000-0002-0000-1200-000000000000}">
      <formula1>"Pass,Fail,N/A"</formula1>
    </dataValidation>
  </dataValidations>
  <pageMargins left="0.7" right="0.7" top="0.75" bottom="0.75" header="0.3" footer="0.3"/>
  <pageSetup orientation="portrait" horizontalDpi="4294967295" verticalDpi="429496729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3"/>
  <sheetViews>
    <sheetView workbookViewId="0">
      <pane ySplit="1" topLeftCell="A28" activePane="bottomLeft" state="frozen"/>
      <selection pane="bottomLeft"/>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2389</v>
      </c>
      <c r="B2" s="26"/>
      <c r="C2" s="26"/>
      <c r="D2" s="26"/>
      <c r="E2" s="26"/>
      <c r="F2" s="26"/>
      <c r="G2" s="26"/>
      <c r="H2" s="26"/>
      <c r="I2" s="26"/>
    </row>
    <row r="3" spans="1:9" ht="54.4" customHeight="1" x14ac:dyDescent="0.25">
      <c r="A3" s="15" t="s">
        <v>2390</v>
      </c>
      <c r="B3" s="16" t="s">
        <v>2391</v>
      </c>
      <c r="C3" s="16" t="s">
        <v>2392</v>
      </c>
      <c r="D3" s="16" t="s">
        <v>2393</v>
      </c>
      <c r="E3" s="16" t="s">
        <v>2394</v>
      </c>
      <c r="F3" s="17" t="s">
        <v>15</v>
      </c>
      <c r="G3" s="17" t="s">
        <v>16</v>
      </c>
      <c r="H3" s="17"/>
      <c r="I3" s="16" t="s">
        <v>2395</v>
      </c>
    </row>
    <row r="4" spans="1:9" ht="29.25" customHeight="1" x14ac:dyDescent="0.25">
      <c r="A4" s="18" t="s">
        <v>2396</v>
      </c>
      <c r="B4" s="19" t="s">
        <v>2391</v>
      </c>
      <c r="C4" s="19" t="s">
        <v>2397</v>
      </c>
      <c r="D4" s="19" t="s">
        <v>2398</v>
      </c>
      <c r="E4" s="19" t="s">
        <v>2399</v>
      </c>
      <c r="F4" s="17" t="s">
        <v>15</v>
      </c>
      <c r="G4" s="17" t="s">
        <v>16</v>
      </c>
      <c r="H4" s="17"/>
      <c r="I4" s="19" t="s">
        <v>2400</v>
      </c>
    </row>
    <row r="5" spans="1:9" ht="18" customHeight="1" x14ac:dyDescent="0.25">
      <c r="A5" s="25" t="s">
        <v>2401</v>
      </c>
      <c r="B5" s="26"/>
      <c r="C5" s="26"/>
      <c r="D5" s="26"/>
      <c r="E5" s="26"/>
      <c r="F5" s="26"/>
      <c r="G5" s="26"/>
      <c r="H5" s="26"/>
      <c r="I5" s="26"/>
    </row>
    <row r="6" spans="1:9" ht="54.4" customHeight="1" x14ac:dyDescent="0.25">
      <c r="A6" s="15" t="s">
        <v>2402</v>
      </c>
      <c r="B6" s="16" t="s">
        <v>2403</v>
      </c>
      <c r="C6" s="16" t="s">
        <v>2404</v>
      </c>
      <c r="D6" s="16" t="s">
        <v>2405</v>
      </c>
      <c r="E6" s="16" t="s">
        <v>2406</v>
      </c>
      <c r="F6" s="17" t="s">
        <v>15</v>
      </c>
      <c r="G6" s="17" t="s">
        <v>16</v>
      </c>
      <c r="H6" s="17"/>
      <c r="I6" s="16" t="s">
        <v>2407</v>
      </c>
    </row>
    <row r="7" spans="1:9" ht="41.85" customHeight="1" x14ac:dyDescent="0.25">
      <c r="A7" s="18" t="s">
        <v>2408</v>
      </c>
      <c r="B7" s="19" t="s">
        <v>2409</v>
      </c>
      <c r="C7" s="19" t="s">
        <v>2410</v>
      </c>
      <c r="D7" s="19" t="s">
        <v>2411</v>
      </c>
      <c r="E7" s="19" t="s">
        <v>2412</v>
      </c>
      <c r="F7" s="17" t="s">
        <v>15</v>
      </c>
      <c r="G7" s="17" t="s">
        <v>16</v>
      </c>
      <c r="H7" s="17"/>
      <c r="I7" s="19" t="s">
        <v>2413</v>
      </c>
    </row>
    <row r="8" spans="1:9" ht="41.85" customHeight="1" x14ac:dyDescent="0.25">
      <c r="A8" s="15" t="s">
        <v>2414</v>
      </c>
      <c r="B8" s="16" t="s">
        <v>2415</v>
      </c>
      <c r="C8" s="16" t="s">
        <v>2416</v>
      </c>
      <c r="D8" s="16" t="s">
        <v>2417</v>
      </c>
      <c r="E8" s="16" t="s">
        <v>2418</v>
      </c>
      <c r="F8" s="17" t="s">
        <v>15</v>
      </c>
      <c r="G8" s="17" t="s">
        <v>16</v>
      </c>
      <c r="H8" s="17"/>
      <c r="I8" s="16" t="s">
        <v>2419</v>
      </c>
    </row>
    <row r="9" spans="1:9" ht="29.25" customHeight="1" x14ac:dyDescent="0.25">
      <c r="A9" s="18" t="s">
        <v>2420</v>
      </c>
      <c r="B9" s="19" t="s">
        <v>2409</v>
      </c>
      <c r="C9" s="19" t="s">
        <v>2421</v>
      </c>
      <c r="D9" s="19" t="s">
        <v>2422</v>
      </c>
      <c r="E9" s="19" t="s">
        <v>2423</v>
      </c>
      <c r="F9" s="17" t="s">
        <v>15</v>
      </c>
      <c r="G9" s="17" t="s">
        <v>16</v>
      </c>
      <c r="H9" s="17"/>
      <c r="I9" s="19" t="s">
        <v>2424</v>
      </c>
    </row>
    <row r="10" spans="1:9" ht="18" customHeight="1" x14ac:dyDescent="0.25">
      <c r="A10" s="25" t="s">
        <v>2425</v>
      </c>
      <c r="B10" s="26"/>
      <c r="C10" s="26"/>
      <c r="D10" s="26"/>
      <c r="E10" s="26"/>
      <c r="F10" s="26"/>
      <c r="G10" s="26"/>
      <c r="H10" s="26"/>
      <c r="I10" s="26"/>
    </row>
    <row r="11" spans="1:9" ht="41.85" customHeight="1" x14ac:dyDescent="0.25">
      <c r="A11" s="15" t="s">
        <v>2426</v>
      </c>
      <c r="B11" s="16" t="s">
        <v>2427</v>
      </c>
      <c r="C11" s="16" t="s">
        <v>2428</v>
      </c>
      <c r="D11" s="16" t="s">
        <v>2429</v>
      </c>
      <c r="E11" s="16" t="s">
        <v>2430</v>
      </c>
      <c r="F11" s="17" t="s">
        <v>15</v>
      </c>
      <c r="G11" s="17" t="s">
        <v>16</v>
      </c>
      <c r="H11" s="17"/>
      <c r="I11" s="16" t="s">
        <v>2431</v>
      </c>
    </row>
    <row r="12" spans="1:9" ht="41.85" customHeight="1" x14ac:dyDescent="0.25">
      <c r="A12" s="18" t="s">
        <v>2432</v>
      </c>
      <c r="B12" s="19" t="s">
        <v>2433</v>
      </c>
      <c r="C12" s="19" t="s">
        <v>2434</v>
      </c>
      <c r="D12" s="19" t="s">
        <v>2212</v>
      </c>
      <c r="E12" s="19" t="s">
        <v>2435</v>
      </c>
      <c r="F12" s="17" t="s">
        <v>15</v>
      </c>
      <c r="G12" s="17" t="s">
        <v>16</v>
      </c>
      <c r="H12" s="17"/>
      <c r="I12" s="19" t="s">
        <v>2436</v>
      </c>
    </row>
    <row r="13" spans="1:9" ht="18" customHeight="1" x14ac:dyDescent="0.25">
      <c r="A13" s="25" t="s">
        <v>2437</v>
      </c>
      <c r="B13" s="26"/>
      <c r="C13" s="26"/>
      <c r="D13" s="26"/>
      <c r="E13" s="26"/>
      <c r="F13" s="26"/>
      <c r="G13" s="26"/>
      <c r="H13" s="26"/>
      <c r="I13" s="26"/>
    </row>
    <row r="14" spans="1:9" ht="79.7" customHeight="1" x14ac:dyDescent="0.25">
      <c r="A14" s="15" t="s">
        <v>2438</v>
      </c>
      <c r="B14" s="16" t="s">
        <v>2439</v>
      </c>
      <c r="C14" s="16" t="s">
        <v>2440</v>
      </c>
      <c r="D14" s="16" t="s">
        <v>2441</v>
      </c>
      <c r="E14" s="16" t="s">
        <v>2442</v>
      </c>
      <c r="F14" s="17"/>
      <c r="G14" s="17"/>
      <c r="H14" s="17"/>
      <c r="I14" s="16" t="s">
        <v>2443</v>
      </c>
    </row>
    <row r="15" spans="1:9" ht="29.25" customHeight="1" x14ac:dyDescent="0.25">
      <c r="A15" s="18" t="s">
        <v>2444</v>
      </c>
      <c r="B15" s="19" t="s">
        <v>2439</v>
      </c>
      <c r="C15" s="19" t="s">
        <v>2445</v>
      </c>
      <c r="D15" s="19" t="s">
        <v>2446</v>
      </c>
      <c r="E15" s="19" t="s">
        <v>2447</v>
      </c>
      <c r="F15" s="17"/>
      <c r="G15" s="17"/>
      <c r="H15" s="17"/>
      <c r="I15" s="19" t="s">
        <v>2448</v>
      </c>
    </row>
    <row r="16" spans="1:9" ht="18" customHeight="1" x14ac:dyDescent="0.25">
      <c r="A16" s="25" t="s">
        <v>2449</v>
      </c>
      <c r="B16" s="26"/>
      <c r="C16" s="26"/>
      <c r="D16" s="26"/>
      <c r="E16" s="26"/>
      <c r="F16" s="26"/>
      <c r="G16" s="26"/>
      <c r="H16" s="26"/>
      <c r="I16" s="26"/>
    </row>
    <row r="17" spans="1:9" ht="41.85" customHeight="1" x14ac:dyDescent="0.25">
      <c r="A17" s="15" t="s">
        <v>2450</v>
      </c>
      <c r="B17" s="16" t="s">
        <v>2451</v>
      </c>
      <c r="C17" s="16" t="s">
        <v>2452</v>
      </c>
      <c r="D17" s="16" t="s">
        <v>2453</v>
      </c>
      <c r="E17" s="16" t="s">
        <v>2454</v>
      </c>
      <c r="F17" s="17" t="s">
        <v>15</v>
      </c>
      <c r="G17" s="17" t="s">
        <v>16</v>
      </c>
      <c r="H17" s="17"/>
      <c r="I17" s="16" t="s">
        <v>2455</v>
      </c>
    </row>
    <row r="18" spans="1:9" ht="54.4" customHeight="1" x14ac:dyDescent="0.25">
      <c r="A18" s="18" t="s">
        <v>2456</v>
      </c>
      <c r="B18" s="19" t="s">
        <v>2457</v>
      </c>
      <c r="C18" s="19" t="s">
        <v>2458</v>
      </c>
      <c r="D18" s="19" t="s">
        <v>2459</v>
      </c>
      <c r="E18" s="19" t="s">
        <v>2460</v>
      </c>
      <c r="F18" s="17" t="s">
        <v>15</v>
      </c>
      <c r="G18" s="17" t="s">
        <v>16</v>
      </c>
      <c r="H18" s="17"/>
      <c r="I18" s="19" t="s">
        <v>2461</v>
      </c>
    </row>
    <row r="19" spans="1:9" ht="41.85" customHeight="1" x14ac:dyDescent="0.25">
      <c r="A19" s="15" t="s">
        <v>2462</v>
      </c>
      <c r="B19" s="16" t="s">
        <v>2463</v>
      </c>
      <c r="C19" s="16" t="s">
        <v>2464</v>
      </c>
      <c r="D19" s="16" t="s">
        <v>2465</v>
      </c>
      <c r="E19" s="16" t="s">
        <v>2466</v>
      </c>
      <c r="F19" s="17" t="s">
        <v>15</v>
      </c>
      <c r="G19" s="17" t="s">
        <v>16</v>
      </c>
      <c r="H19" s="17"/>
      <c r="I19" s="16" t="s">
        <v>2467</v>
      </c>
    </row>
    <row r="20" spans="1:9" ht="18" customHeight="1" x14ac:dyDescent="0.25">
      <c r="A20" s="25" t="s">
        <v>2468</v>
      </c>
      <c r="B20" s="26"/>
      <c r="C20" s="26"/>
      <c r="D20" s="26"/>
      <c r="E20" s="26"/>
      <c r="F20" s="26"/>
      <c r="G20" s="26"/>
      <c r="H20" s="26"/>
      <c r="I20" s="26"/>
    </row>
    <row r="21" spans="1:9" ht="41.85" customHeight="1" x14ac:dyDescent="0.25">
      <c r="A21" s="15" t="s">
        <v>2469</v>
      </c>
      <c r="B21" s="16" t="s">
        <v>2470</v>
      </c>
      <c r="C21" s="16" t="s">
        <v>2471</v>
      </c>
      <c r="D21" s="16" t="s">
        <v>2472</v>
      </c>
      <c r="E21" s="16" t="s">
        <v>2473</v>
      </c>
      <c r="F21" s="17" t="s">
        <v>15</v>
      </c>
      <c r="G21" s="17" t="s">
        <v>16</v>
      </c>
      <c r="H21" s="17"/>
      <c r="I21" s="16" t="s">
        <v>2474</v>
      </c>
    </row>
    <row r="22" spans="1:9" ht="29.25" customHeight="1" x14ac:dyDescent="0.25">
      <c r="A22" s="18" t="s">
        <v>2475</v>
      </c>
      <c r="B22" s="19" t="s">
        <v>2470</v>
      </c>
      <c r="C22" s="19" t="s">
        <v>2476</v>
      </c>
      <c r="D22" s="19" t="s">
        <v>2477</v>
      </c>
      <c r="E22" s="19" t="s">
        <v>2478</v>
      </c>
      <c r="F22" s="17" t="s">
        <v>15</v>
      </c>
      <c r="G22" s="17" t="s">
        <v>16</v>
      </c>
      <c r="H22" s="17"/>
      <c r="I22" s="19" t="s">
        <v>2479</v>
      </c>
    </row>
    <row r="23" spans="1:9" ht="18" customHeight="1" x14ac:dyDescent="0.25">
      <c r="A23" s="25" t="s">
        <v>2480</v>
      </c>
      <c r="B23" s="26"/>
      <c r="C23" s="26"/>
      <c r="D23" s="26"/>
      <c r="E23" s="26"/>
      <c r="F23" s="26"/>
      <c r="G23" s="26"/>
      <c r="H23" s="26"/>
      <c r="I23" s="26"/>
    </row>
    <row r="24" spans="1:9" ht="66.95" customHeight="1" x14ac:dyDescent="0.25">
      <c r="A24" s="15" t="s">
        <v>796</v>
      </c>
      <c r="B24" s="16" t="s">
        <v>2481</v>
      </c>
      <c r="C24" s="16" t="s">
        <v>2482</v>
      </c>
      <c r="D24" s="16" t="s">
        <v>2483</v>
      </c>
      <c r="E24" s="16" t="s">
        <v>2484</v>
      </c>
      <c r="F24" s="17" t="s">
        <v>15</v>
      </c>
      <c r="G24" s="17" t="s">
        <v>16</v>
      </c>
      <c r="H24" s="17"/>
      <c r="I24" s="16" t="s">
        <v>2485</v>
      </c>
    </row>
    <row r="25" spans="1:9" ht="18" customHeight="1" x14ac:dyDescent="0.25">
      <c r="A25" s="25" t="s">
        <v>2486</v>
      </c>
      <c r="B25" s="26"/>
      <c r="C25" s="26"/>
      <c r="D25" s="26"/>
      <c r="E25" s="26"/>
      <c r="F25" s="26"/>
      <c r="G25" s="26"/>
      <c r="H25" s="26"/>
      <c r="I25" s="26"/>
    </row>
    <row r="26" spans="1:9" ht="41.85" customHeight="1" x14ac:dyDescent="0.25">
      <c r="A26" s="15" t="s">
        <v>2487</v>
      </c>
      <c r="B26" s="16" t="s">
        <v>2488</v>
      </c>
      <c r="C26" s="16" t="s">
        <v>2489</v>
      </c>
      <c r="D26" s="16" t="s">
        <v>2490</v>
      </c>
      <c r="E26" s="16" t="s">
        <v>2491</v>
      </c>
      <c r="F26" s="17" t="s">
        <v>15</v>
      </c>
      <c r="G26" s="17" t="s">
        <v>16</v>
      </c>
      <c r="H26" s="17"/>
      <c r="I26" s="16" t="s">
        <v>2492</v>
      </c>
    </row>
    <row r="27" spans="1:9" ht="41.85" customHeight="1" x14ac:dyDescent="0.25">
      <c r="A27" s="18" t="s">
        <v>2493</v>
      </c>
      <c r="B27" s="19" t="s">
        <v>2494</v>
      </c>
      <c r="C27" s="19" t="s">
        <v>2495</v>
      </c>
      <c r="D27" s="19" t="s">
        <v>2496</v>
      </c>
      <c r="E27" s="19" t="s">
        <v>2497</v>
      </c>
      <c r="F27" s="17" t="s">
        <v>15</v>
      </c>
      <c r="G27" s="17" t="s">
        <v>16</v>
      </c>
      <c r="H27" s="17"/>
      <c r="I27" s="19" t="s">
        <v>2498</v>
      </c>
    </row>
    <row r="28" spans="1:9" ht="104.85" customHeight="1" x14ac:dyDescent="0.25">
      <c r="A28" s="15" t="s">
        <v>2499</v>
      </c>
      <c r="B28" s="16" t="s">
        <v>2500</v>
      </c>
      <c r="C28" s="16" t="s">
        <v>2501</v>
      </c>
      <c r="D28" s="16" t="s">
        <v>2502</v>
      </c>
      <c r="E28" s="16" t="s">
        <v>2503</v>
      </c>
      <c r="F28" s="17"/>
      <c r="G28" s="17"/>
      <c r="H28" s="17"/>
      <c r="I28" s="16" t="s">
        <v>2504</v>
      </c>
    </row>
    <row r="29" spans="1:9" ht="18" customHeight="1" x14ac:dyDescent="0.25">
      <c r="A29" s="25" t="s">
        <v>2505</v>
      </c>
      <c r="B29" s="26"/>
      <c r="C29" s="26"/>
      <c r="D29" s="26"/>
      <c r="E29" s="26"/>
      <c r="F29" s="26"/>
      <c r="G29" s="26"/>
      <c r="H29" s="26"/>
      <c r="I29" s="26"/>
    </row>
    <row r="30" spans="1:9" ht="41.85" customHeight="1" x14ac:dyDescent="0.25">
      <c r="A30" s="15" t="s">
        <v>811</v>
      </c>
      <c r="B30" s="16" t="s">
        <v>2506</v>
      </c>
      <c r="C30" s="16" t="s">
        <v>2507</v>
      </c>
      <c r="D30" s="16" t="s">
        <v>2508</v>
      </c>
      <c r="E30" s="16" t="s">
        <v>2509</v>
      </c>
      <c r="F30" s="17"/>
      <c r="G30" s="17"/>
      <c r="H30" s="17"/>
      <c r="I30" s="16" t="s">
        <v>2510</v>
      </c>
    </row>
    <row r="31" spans="1:9" ht="18" customHeight="1" x14ac:dyDescent="0.25">
      <c r="A31" s="25" t="s">
        <v>2511</v>
      </c>
      <c r="B31" s="26"/>
      <c r="C31" s="26"/>
      <c r="D31" s="26"/>
      <c r="E31" s="26"/>
      <c r="F31" s="26"/>
      <c r="G31" s="26"/>
      <c r="H31" s="26"/>
      <c r="I31" s="26"/>
    </row>
    <row r="32" spans="1:9" ht="54.4" customHeight="1" x14ac:dyDescent="0.25">
      <c r="A32" s="15" t="s">
        <v>2512</v>
      </c>
      <c r="B32" s="16" t="s">
        <v>2513</v>
      </c>
      <c r="C32" s="16" t="s">
        <v>2514</v>
      </c>
      <c r="D32" s="16" t="s">
        <v>2515</v>
      </c>
      <c r="E32" s="16" t="s">
        <v>2516</v>
      </c>
      <c r="F32" s="17" t="s">
        <v>15</v>
      </c>
      <c r="G32" s="17" t="s">
        <v>16</v>
      </c>
      <c r="H32" s="17"/>
      <c r="I32" s="16" t="s">
        <v>2517</v>
      </c>
    </row>
    <row r="33" spans="1:9" ht="41.85" customHeight="1" x14ac:dyDescent="0.25">
      <c r="A33" s="18" t="s">
        <v>2518</v>
      </c>
      <c r="B33" s="19" t="s">
        <v>2519</v>
      </c>
      <c r="C33" s="19" t="s">
        <v>2520</v>
      </c>
      <c r="D33" s="19" t="s">
        <v>2521</v>
      </c>
      <c r="E33" s="19" t="s">
        <v>2522</v>
      </c>
      <c r="F33" s="17" t="s">
        <v>15</v>
      </c>
      <c r="G33" s="17" t="s">
        <v>16</v>
      </c>
      <c r="H33" s="17"/>
      <c r="I33" s="19" t="s">
        <v>2523</v>
      </c>
    </row>
  </sheetData>
  <mergeCells count="10">
    <mergeCell ref="A31:I31"/>
    <mergeCell ref="A20:I20"/>
    <mergeCell ref="A16:I16"/>
    <mergeCell ref="A29:I29"/>
    <mergeCell ref="A25:I25"/>
    <mergeCell ref="A2:I2"/>
    <mergeCell ref="A10:I10"/>
    <mergeCell ref="A5:I5"/>
    <mergeCell ref="A13:I13"/>
    <mergeCell ref="A23:I23"/>
  </mergeCells>
  <dataValidations count="1">
    <dataValidation type="list" allowBlank="1" sqref="F3:F4 F6:F9 F11:F12 F14:F15 F17:F19 F21:F22 F24 F26:F28 F30 F32:F33" xr:uid="{00000000-0002-0000-1300-000000000000}">
      <formula1>"Pass,Fail,N/A"</formula1>
    </dataValidation>
  </dataValidations>
  <pageMargins left="0.7" right="0.7" top="0.75" bottom="0.75" header="0.3" footer="0.3"/>
  <pageSetup orientation="portrait" horizontalDpi="4294967295" verticalDpi="429496729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65"/>
  <sheetViews>
    <sheetView topLeftCell="B1" workbookViewId="0">
      <pane ySplit="1" topLeftCell="A8" activePane="bottomLeft" state="frozen"/>
      <selection pane="bottomLeft" activeCell="F14" sqref="F14"/>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x14ac:dyDescent="0.25">
      <c r="A1" s="20" t="s">
        <v>0</v>
      </c>
      <c r="B1" s="20" t="s">
        <v>1</v>
      </c>
      <c r="C1" s="20" t="s">
        <v>2</v>
      </c>
      <c r="D1" s="20" t="s">
        <v>3</v>
      </c>
      <c r="E1" s="20" t="s">
        <v>4</v>
      </c>
      <c r="F1" s="21" t="s">
        <v>5</v>
      </c>
      <c r="G1" s="21" t="s">
        <v>6</v>
      </c>
      <c r="H1" s="21" t="s">
        <v>7</v>
      </c>
      <c r="I1" s="20" t="s">
        <v>8</v>
      </c>
    </row>
    <row r="2" spans="1:9" x14ac:dyDescent="0.25">
      <c r="A2" s="25" t="s">
        <v>9</v>
      </c>
      <c r="B2" s="26"/>
      <c r="C2" s="26"/>
      <c r="D2" s="26"/>
      <c r="E2" s="26"/>
      <c r="F2" s="26"/>
      <c r="G2" s="26"/>
      <c r="H2" s="26"/>
      <c r="I2" s="26"/>
    </row>
    <row r="3" spans="1:9" ht="127.5" customHeight="1" x14ac:dyDescent="0.25">
      <c r="A3" s="15" t="s">
        <v>10</v>
      </c>
      <c r="B3" s="16" t="s">
        <v>11</v>
      </c>
      <c r="C3" s="16" t="s">
        <v>12</v>
      </c>
      <c r="D3" s="16" t="s">
        <v>13</v>
      </c>
      <c r="E3" s="16" t="s">
        <v>14</v>
      </c>
      <c r="F3" s="17" t="s">
        <v>15</v>
      </c>
      <c r="G3" s="17" t="s">
        <v>16</v>
      </c>
      <c r="H3" s="17"/>
      <c r="I3" s="16" t="s">
        <v>17</v>
      </c>
    </row>
    <row r="4" spans="1:9" ht="102" customHeight="1" x14ac:dyDescent="0.25">
      <c r="A4" s="18" t="s">
        <v>18</v>
      </c>
      <c r="B4" s="19" t="s">
        <v>11</v>
      </c>
      <c r="C4" s="19" t="s">
        <v>19</v>
      </c>
      <c r="D4" s="19" t="s">
        <v>20</v>
      </c>
      <c r="E4" s="19" t="s">
        <v>21</v>
      </c>
      <c r="F4" s="17" t="s">
        <v>15</v>
      </c>
      <c r="G4" s="17" t="s">
        <v>2841</v>
      </c>
      <c r="H4" s="17"/>
      <c r="I4" s="19" t="s">
        <v>22</v>
      </c>
    </row>
    <row r="5" spans="1:9" x14ac:dyDescent="0.25">
      <c r="A5" s="25" t="s">
        <v>23</v>
      </c>
      <c r="B5" s="26"/>
      <c r="C5" s="26"/>
      <c r="D5" s="26"/>
      <c r="E5" s="26"/>
      <c r="F5" s="26"/>
      <c r="G5" s="26"/>
      <c r="H5" s="26"/>
      <c r="I5" s="26"/>
    </row>
    <row r="6" spans="1:9" ht="102" customHeight="1" x14ac:dyDescent="0.25">
      <c r="A6" s="15" t="s">
        <v>24</v>
      </c>
      <c r="B6" s="16" t="s">
        <v>25</v>
      </c>
      <c r="C6" s="16" t="s">
        <v>26</v>
      </c>
      <c r="D6" s="16" t="s">
        <v>27</v>
      </c>
      <c r="E6" s="16" t="s">
        <v>28</v>
      </c>
      <c r="F6" s="17" t="s">
        <v>15</v>
      </c>
      <c r="G6" s="17" t="s">
        <v>16</v>
      </c>
      <c r="H6" s="17"/>
      <c r="I6" s="16" t="s">
        <v>29</v>
      </c>
    </row>
    <row r="7" spans="1:9" x14ac:dyDescent="0.25">
      <c r="A7" s="25" t="s">
        <v>30</v>
      </c>
      <c r="B7" s="26"/>
      <c r="C7" s="26"/>
      <c r="D7" s="26"/>
      <c r="E7" s="26"/>
      <c r="F7" s="26"/>
      <c r="G7" s="26"/>
      <c r="H7" s="26"/>
      <c r="I7" s="26"/>
    </row>
    <row r="8" spans="1:9" ht="114.75" customHeight="1" x14ac:dyDescent="0.25">
      <c r="A8" s="15" t="s">
        <v>31</v>
      </c>
      <c r="B8" s="16" t="s">
        <v>32</v>
      </c>
      <c r="C8" s="16" t="s">
        <v>19</v>
      </c>
      <c r="D8" s="16" t="s">
        <v>33</v>
      </c>
      <c r="E8" s="16" t="s">
        <v>34</v>
      </c>
      <c r="F8" s="17" t="s">
        <v>15</v>
      </c>
      <c r="G8" s="17" t="s">
        <v>16</v>
      </c>
      <c r="H8" s="17"/>
      <c r="I8" s="16" t="s">
        <v>35</v>
      </c>
    </row>
    <row r="9" spans="1:9" x14ac:dyDescent="0.25">
      <c r="A9" s="25" t="s">
        <v>36</v>
      </c>
      <c r="B9" s="26"/>
      <c r="C9" s="26"/>
      <c r="D9" s="26"/>
      <c r="E9" s="26"/>
      <c r="F9" s="26"/>
      <c r="G9" s="26"/>
      <c r="H9" s="26"/>
      <c r="I9" s="26"/>
    </row>
    <row r="10" spans="1:9" ht="63.75" customHeight="1" x14ac:dyDescent="0.25">
      <c r="A10" s="15" t="s">
        <v>37</v>
      </c>
      <c r="B10" s="16" t="s">
        <v>38</v>
      </c>
      <c r="C10" s="16" t="s">
        <v>39</v>
      </c>
      <c r="D10" s="16" t="s">
        <v>40</v>
      </c>
      <c r="E10" s="16" t="s">
        <v>41</v>
      </c>
      <c r="F10" s="17" t="s">
        <v>15</v>
      </c>
      <c r="G10" s="17" t="s">
        <v>16</v>
      </c>
      <c r="H10" s="17"/>
      <c r="I10" s="16" t="s">
        <v>42</v>
      </c>
    </row>
    <row r="11" spans="1:9" x14ac:dyDescent="0.25">
      <c r="A11" s="25" t="s">
        <v>43</v>
      </c>
      <c r="B11" s="26"/>
      <c r="C11" s="26"/>
      <c r="D11" s="26"/>
      <c r="E11" s="26"/>
      <c r="F11" s="26"/>
      <c r="G11" s="26"/>
      <c r="H11" s="26"/>
      <c r="I11" s="26"/>
    </row>
    <row r="12" spans="1:9" ht="89.25" customHeight="1" x14ac:dyDescent="0.25">
      <c r="A12" s="15" t="s">
        <v>44</v>
      </c>
      <c r="B12" s="16" t="s">
        <v>45</v>
      </c>
      <c r="C12" s="16" t="s">
        <v>46</v>
      </c>
      <c r="D12" s="16" t="s">
        <v>47</v>
      </c>
      <c r="E12" s="16" t="s">
        <v>48</v>
      </c>
      <c r="F12" s="17" t="s">
        <v>15</v>
      </c>
      <c r="G12" s="17" t="s">
        <v>16</v>
      </c>
      <c r="H12" s="17"/>
      <c r="I12" s="16" t="s">
        <v>49</v>
      </c>
    </row>
    <row r="13" spans="1:9" x14ac:dyDescent="0.25">
      <c r="A13" s="25" t="s">
        <v>50</v>
      </c>
      <c r="B13" s="26"/>
      <c r="C13" s="26"/>
      <c r="D13" s="26"/>
      <c r="E13" s="26"/>
      <c r="F13" s="26"/>
      <c r="G13" s="26"/>
      <c r="H13" s="26"/>
      <c r="I13" s="26"/>
    </row>
    <row r="14" spans="1:9" ht="114.75" customHeight="1" x14ac:dyDescent="0.25">
      <c r="A14" s="15" t="s">
        <v>51</v>
      </c>
      <c r="B14" s="16" t="s">
        <v>52</v>
      </c>
      <c r="C14" s="16" t="s">
        <v>53</v>
      </c>
      <c r="D14" s="16" t="s">
        <v>54</v>
      </c>
      <c r="E14" s="16" t="s">
        <v>55</v>
      </c>
      <c r="F14" s="17" t="s">
        <v>56</v>
      </c>
      <c r="G14" s="17" t="s">
        <v>16</v>
      </c>
      <c r="H14" s="17"/>
      <c r="I14" s="16" t="s">
        <v>57</v>
      </c>
    </row>
    <row r="15" spans="1:9" x14ac:dyDescent="0.25">
      <c r="A15" s="25" t="s">
        <v>58</v>
      </c>
      <c r="B15" s="26"/>
      <c r="C15" s="26"/>
      <c r="D15" s="26"/>
      <c r="E15" s="26"/>
      <c r="F15" s="26"/>
      <c r="G15" s="26"/>
      <c r="H15" s="26"/>
      <c r="I15" s="26"/>
    </row>
    <row r="16" spans="1:9" ht="63.75" customHeight="1" x14ac:dyDescent="0.25">
      <c r="A16" s="15" t="s">
        <v>59</v>
      </c>
      <c r="B16" s="16" t="s">
        <v>60</v>
      </c>
      <c r="C16" s="16" t="s">
        <v>61</v>
      </c>
      <c r="D16" s="16" t="s">
        <v>62</v>
      </c>
      <c r="E16" s="16" t="s">
        <v>63</v>
      </c>
      <c r="F16" s="17" t="s">
        <v>15</v>
      </c>
      <c r="G16" s="17" t="s">
        <v>16</v>
      </c>
      <c r="H16" s="17"/>
      <c r="I16" s="16" t="s">
        <v>64</v>
      </c>
    </row>
    <row r="17" spans="1:9" x14ac:dyDescent="0.25">
      <c r="A17" s="25" t="s">
        <v>65</v>
      </c>
      <c r="B17" s="26"/>
      <c r="C17" s="26"/>
      <c r="D17" s="26"/>
      <c r="E17" s="26"/>
      <c r="F17" s="26"/>
      <c r="G17" s="26"/>
      <c r="H17" s="26"/>
      <c r="I17" s="26"/>
    </row>
    <row r="18" spans="1:9" ht="140.25" customHeight="1" x14ac:dyDescent="0.25">
      <c r="A18" s="15" t="s">
        <v>66</v>
      </c>
      <c r="B18" s="16" t="s">
        <v>67</v>
      </c>
      <c r="C18" s="16" t="s">
        <v>68</v>
      </c>
      <c r="D18" s="16" t="s">
        <v>62</v>
      </c>
      <c r="E18" s="16" t="s">
        <v>69</v>
      </c>
      <c r="F18" s="17" t="s">
        <v>15</v>
      </c>
      <c r="G18" s="17" t="s">
        <v>16</v>
      </c>
      <c r="H18" s="17"/>
      <c r="I18" s="16" t="s">
        <v>70</v>
      </c>
    </row>
    <row r="19" spans="1:9" x14ac:dyDescent="0.25">
      <c r="A19" s="25" t="s">
        <v>71</v>
      </c>
      <c r="B19" s="26"/>
      <c r="C19" s="26"/>
      <c r="D19" s="26"/>
      <c r="E19" s="26"/>
      <c r="F19" s="26"/>
      <c r="G19" s="26"/>
      <c r="H19" s="26"/>
      <c r="I19" s="26"/>
    </row>
    <row r="20" spans="1:9" ht="63.75" customHeight="1" x14ac:dyDescent="0.25">
      <c r="A20" s="15" t="s">
        <v>72</v>
      </c>
      <c r="B20" s="16" t="s">
        <v>73</v>
      </c>
      <c r="C20" s="16" t="s">
        <v>74</v>
      </c>
      <c r="D20" s="16" t="s">
        <v>62</v>
      </c>
      <c r="E20" s="16" t="s">
        <v>75</v>
      </c>
      <c r="F20" s="17" t="s">
        <v>15</v>
      </c>
      <c r="G20" s="17" t="s">
        <v>16</v>
      </c>
      <c r="H20" s="17"/>
      <c r="I20" s="16" t="s">
        <v>76</v>
      </c>
    </row>
    <row r="21" spans="1:9" x14ac:dyDescent="0.25">
      <c r="A21" s="25" t="s">
        <v>77</v>
      </c>
      <c r="B21" s="26"/>
      <c r="C21" s="26"/>
      <c r="D21" s="26"/>
      <c r="E21" s="26"/>
      <c r="F21" s="26"/>
      <c r="G21" s="26"/>
      <c r="H21" s="26"/>
      <c r="I21" s="26"/>
    </row>
    <row r="22" spans="1:9" ht="140.25" customHeight="1" x14ac:dyDescent="0.25">
      <c r="A22" s="15" t="s">
        <v>78</v>
      </c>
      <c r="B22" s="16" t="s">
        <v>79</v>
      </c>
      <c r="C22" s="16" t="s">
        <v>80</v>
      </c>
      <c r="D22" s="16" t="s">
        <v>81</v>
      </c>
      <c r="E22" s="16" t="s">
        <v>82</v>
      </c>
      <c r="F22" s="17" t="s">
        <v>15</v>
      </c>
      <c r="G22" s="17" t="s">
        <v>16</v>
      </c>
      <c r="H22" s="17"/>
      <c r="I22" s="16" t="s">
        <v>83</v>
      </c>
    </row>
    <row r="23" spans="1:9" x14ac:dyDescent="0.25">
      <c r="A23" s="25" t="s">
        <v>84</v>
      </c>
      <c r="B23" s="26"/>
      <c r="C23" s="26"/>
      <c r="D23" s="26"/>
      <c r="E23" s="26"/>
      <c r="F23" s="26"/>
      <c r="G23" s="26"/>
      <c r="H23" s="26"/>
      <c r="I23" s="26"/>
    </row>
    <row r="24" spans="1:9" ht="76.5" customHeight="1" x14ac:dyDescent="0.25">
      <c r="A24" s="15" t="s">
        <v>85</v>
      </c>
      <c r="B24" s="16" t="s">
        <v>86</v>
      </c>
      <c r="C24" s="16" t="s">
        <v>87</v>
      </c>
      <c r="D24" s="16" t="s">
        <v>88</v>
      </c>
      <c r="E24" s="16" t="s">
        <v>89</v>
      </c>
      <c r="F24" s="17" t="s">
        <v>15</v>
      </c>
      <c r="G24" s="17" t="s">
        <v>16</v>
      </c>
      <c r="H24" s="17"/>
      <c r="I24" s="16" t="s">
        <v>90</v>
      </c>
    </row>
    <row r="25" spans="1:9" x14ac:dyDescent="0.25">
      <c r="A25" s="25" t="s">
        <v>91</v>
      </c>
      <c r="B25" s="26"/>
      <c r="C25" s="26"/>
      <c r="D25" s="26"/>
      <c r="E25" s="26"/>
      <c r="F25" s="26"/>
      <c r="G25" s="26"/>
      <c r="H25" s="26"/>
      <c r="I25" s="26"/>
    </row>
    <row r="26" spans="1:9" ht="102" customHeight="1" x14ac:dyDescent="0.25">
      <c r="A26" s="15" t="s">
        <v>92</v>
      </c>
      <c r="B26" s="16" t="s">
        <v>93</v>
      </c>
      <c r="C26" s="16" t="s">
        <v>94</v>
      </c>
      <c r="D26" s="16" t="s">
        <v>95</v>
      </c>
      <c r="E26" s="16" t="s">
        <v>96</v>
      </c>
      <c r="F26" s="17" t="s">
        <v>15</v>
      </c>
      <c r="G26" s="17" t="s">
        <v>16</v>
      </c>
      <c r="H26" s="17"/>
      <c r="I26" s="16" t="s">
        <v>97</v>
      </c>
    </row>
    <row r="27" spans="1:9" ht="127.5" customHeight="1" x14ac:dyDescent="0.25">
      <c r="A27" s="18" t="s">
        <v>98</v>
      </c>
      <c r="B27" s="19" t="s">
        <v>99</v>
      </c>
      <c r="C27" s="19" t="s">
        <v>100</v>
      </c>
      <c r="D27" s="19" t="s">
        <v>101</v>
      </c>
      <c r="E27" s="19" t="s">
        <v>102</v>
      </c>
      <c r="F27" s="17"/>
      <c r="G27" s="17"/>
      <c r="H27" s="17"/>
      <c r="I27" s="19" t="s">
        <v>103</v>
      </c>
    </row>
    <row r="28" spans="1:9" x14ac:dyDescent="0.25">
      <c r="A28" s="25" t="s">
        <v>104</v>
      </c>
      <c r="B28" s="26"/>
      <c r="C28" s="26"/>
      <c r="D28" s="26"/>
      <c r="E28" s="26"/>
      <c r="F28" s="26"/>
      <c r="G28" s="26"/>
      <c r="H28" s="26"/>
      <c r="I28" s="26"/>
    </row>
    <row r="29" spans="1:9" ht="102" customHeight="1" x14ac:dyDescent="0.25">
      <c r="A29" s="15" t="s">
        <v>105</v>
      </c>
      <c r="B29" s="16" t="s">
        <v>106</v>
      </c>
      <c r="C29" s="16" t="s">
        <v>107</v>
      </c>
      <c r="D29" s="16" t="s">
        <v>108</v>
      </c>
      <c r="E29" s="16" t="s">
        <v>109</v>
      </c>
      <c r="F29" s="17" t="s">
        <v>15</v>
      </c>
      <c r="G29" s="17" t="s">
        <v>16</v>
      </c>
      <c r="H29" s="17"/>
      <c r="I29" s="16" t="s">
        <v>110</v>
      </c>
    </row>
    <row r="30" spans="1:9" ht="140.25" customHeight="1" x14ac:dyDescent="0.25">
      <c r="A30" s="18" t="s">
        <v>111</v>
      </c>
      <c r="B30" s="19" t="s">
        <v>112</v>
      </c>
      <c r="C30" s="19" t="s">
        <v>113</v>
      </c>
      <c r="D30" s="19" t="s">
        <v>114</v>
      </c>
      <c r="E30" s="19" t="s">
        <v>115</v>
      </c>
      <c r="F30" s="17" t="s">
        <v>15</v>
      </c>
      <c r="G30" s="17" t="s">
        <v>16</v>
      </c>
      <c r="H30" s="17"/>
      <c r="I30" s="19" t="s">
        <v>116</v>
      </c>
    </row>
    <row r="31" spans="1:9" x14ac:dyDescent="0.25">
      <c r="A31" s="25" t="s">
        <v>117</v>
      </c>
      <c r="B31" s="26"/>
      <c r="C31" s="26"/>
      <c r="D31" s="26"/>
      <c r="E31" s="26"/>
      <c r="F31" s="26"/>
      <c r="G31" s="26"/>
      <c r="H31" s="26"/>
      <c r="I31" s="26"/>
    </row>
    <row r="32" spans="1:9" ht="127.5" customHeight="1" x14ac:dyDescent="0.25">
      <c r="A32" s="15" t="s">
        <v>118</v>
      </c>
      <c r="B32" s="16" t="s">
        <v>119</v>
      </c>
      <c r="C32" s="16" t="s">
        <v>120</v>
      </c>
      <c r="D32" s="16" t="s">
        <v>121</v>
      </c>
      <c r="E32" s="16" t="s">
        <v>122</v>
      </c>
      <c r="F32" s="17" t="s">
        <v>15</v>
      </c>
      <c r="G32" s="17" t="s">
        <v>16</v>
      </c>
      <c r="H32" s="17" t="s">
        <v>123</v>
      </c>
      <c r="I32" s="16" t="s">
        <v>124</v>
      </c>
    </row>
    <row r="33" spans="1:9" x14ac:dyDescent="0.25">
      <c r="A33" s="25" t="s">
        <v>125</v>
      </c>
      <c r="B33" s="26"/>
      <c r="C33" s="26"/>
      <c r="D33" s="26"/>
      <c r="E33" s="26"/>
      <c r="F33" s="26"/>
      <c r="G33" s="26"/>
      <c r="H33" s="26"/>
      <c r="I33" s="26"/>
    </row>
    <row r="34" spans="1:9" ht="89.25" customHeight="1" x14ac:dyDescent="0.25">
      <c r="A34" s="15" t="s">
        <v>126</v>
      </c>
      <c r="B34" s="16" t="s">
        <v>127</v>
      </c>
      <c r="C34" s="16" t="s">
        <v>19</v>
      </c>
      <c r="D34" s="16" t="s">
        <v>128</v>
      </c>
      <c r="E34" s="16" t="s">
        <v>129</v>
      </c>
      <c r="F34" s="17" t="s">
        <v>15</v>
      </c>
      <c r="G34" s="17" t="s">
        <v>16</v>
      </c>
      <c r="H34" s="17"/>
      <c r="I34" s="16" t="s">
        <v>130</v>
      </c>
    </row>
    <row r="35" spans="1:9" ht="114.75" customHeight="1" x14ac:dyDescent="0.25">
      <c r="A35" s="18" t="s">
        <v>131</v>
      </c>
      <c r="B35" s="19" t="s">
        <v>132</v>
      </c>
      <c r="C35" s="19" t="s">
        <v>133</v>
      </c>
      <c r="D35" s="19" t="s">
        <v>134</v>
      </c>
      <c r="E35" s="19" t="s">
        <v>135</v>
      </c>
      <c r="F35" s="17"/>
      <c r="G35" s="17"/>
      <c r="H35" s="17"/>
      <c r="I35" s="19" t="s">
        <v>136</v>
      </c>
    </row>
    <row r="36" spans="1:9" x14ac:dyDescent="0.25">
      <c r="A36" s="25" t="s">
        <v>137</v>
      </c>
      <c r="B36" s="26"/>
      <c r="C36" s="26"/>
      <c r="D36" s="26"/>
      <c r="E36" s="26"/>
      <c r="F36" s="26"/>
      <c r="G36" s="26"/>
      <c r="H36" s="26"/>
      <c r="I36" s="26"/>
    </row>
    <row r="37" spans="1:9" ht="127.5" customHeight="1" x14ac:dyDescent="0.25">
      <c r="A37" s="15" t="s">
        <v>138</v>
      </c>
      <c r="B37" s="16" t="s">
        <v>139</v>
      </c>
      <c r="C37" s="16" t="s">
        <v>140</v>
      </c>
      <c r="D37" s="16" t="s">
        <v>141</v>
      </c>
      <c r="E37" s="16" t="s">
        <v>142</v>
      </c>
      <c r="F37" s="17" t="s">
        <v>15</v>
      </c>
      <c r="G37" s="17" t="s">
        <v>16</v>
      </c>
      <c r="H37" s="17" t="s">
        <v>123</v>
      </c>
      <c r="I37" s="16" t="s">
        <v>143</v>
      </c>
    </row>
    <row r="38" spans="1:9" x14ac:dyDescent="0.25">
      <c r="A38" s="25" t="s">
        <v>144</v>
      </c>
      <c r="B38" s="26"/>
      <c r="C38" s="26"/>
      <c r="D38" s="26"/>
      <c r="E38" s="26"/>
      <c r="F38" s="26"/>
      <c r="G38" s="26"/>
      <c r="H38" s="26"/>
      <c r="I38" s="26"/>
    </row>
    <row r="39" spans="1:9" ht="127.5" customHeight="1" x14ac:dyDescent="0.25">
      <c r="A39" s="15" t="s">
        <v>145</v>
      </c>
      <c r="B39" s="16" t="s">
        <v>146</v>
      </c>
      <c r="C39" s="16" t="s">
        <v>147</v>
      </c>
      <c r="D39" s="16" t="s">
        <v>148</v>
      </c>
      <c r="E39" s="16" t="s">
        <v>149</v>
      </c>
      <c r="F39" s="17"/>
      <c r="G39" s="17"/>
      <c r="H39" s="17"/>
      <c r="I39" s="16" t="s">
        <v>150</v>
      </c>
    </row>
    <row r="40" spans="1:9" x14ac:dyDescent="0.25">
      <c r="A40" s="25" t="s">
        <v>151</v>
      </c>
      <c r="B40" s="26"/>
      <c r="C40" s="26"/>
      <c r="D40" s="26"/>
      <c r="E40" s="26"/>
      <c r="F40" s="26"/>
      <c r="G40" s="26"/>
      <c r="H40" s="26"/>
      <c r="I40" s="26"/>
    </row>
    <row r="41" spans="1:9" ht="114.75" customHeight="1" x14ac:dyDescent="0.25">
      <c r="A41" s="15" t="s">
        <v>152</v>
      </c>
      <c r="B41" s="16" t="s">
        <v>153</v>
      </c>
      <c r="C41" s="16" t="s">
        <v>154</v>
      </c>
      <c r="D41" s="16" t="s">
        <v>155</v>
      </c>
      <c r="E41" s="16" t="s">
        <v>156</v>
      </c>
      <c r="F41" s="17"/>
      <c r="G41" s="17"/>
      <c r="H41" s="17"/>
      <c r="I41" s="16" t="s">
        <v>157</v>
      </c>
    </row>
    <row r="42" spans="1:9" x14ac:dyDescent="0.25">
      <c r="A42" s="25" t="s">
        <v>158</v>
      </c>
      <c r="B42" s="26"/>
      <c r="C42" s="26"/>
      <c r="D42" s="26"/>
      <c r="E42" s="26"/>
      <c r="F42" s="26"/>
      <c r="G42" s="26"/>
      <c r="H42" s="26"/>
      <c r="I42" s="26"/>
    </row>
    <row r="43" spans="1:9" ht="89.25" customHeight="1" x14ac:dyDescent="0.25">
      <c r="A43" s="15" t="s">
        <v>159</v>
      </c>
      <c r="B43" s="16" t="s">
        <v>160</v>
      </c>
      <c r="C43" s="16" t="s">
        <v>161</v>
      </c>
      <c r="D43" s="16" t="s">
        <v>162</v>
      </c>
      <c r="E43" s="16" t="s">
        <v>163</v>
      </c>
      <c r="F43" s="17" t="s">
        <v>15</v>
      </c>
      <c r="G43" s="17" t="s">
        <v>16</v>
      </c>
      <c r="H43" s="17"/>
      <c r="I43" s="16" t="s">
        <v>164</v>
      </c>
    </row>
    <row r="44" spans="1:9" x14ac:dyDescent="0.25">
      <c r="A44" s="25" t="s">
        <v>165</v>
      </c>
      <c r="B44" s="26"/>
      <c r="C44" s="26"/>
      <c r="D44" s="26"/>
      <c r="E44" s="26"/>
      <c r="F44" s="26"/>
      <c r="G44" s="26"/>
      <c r="H44" s="26"/>
      <c r="I44" s="26"/>
    </row>
    <row r="45" spans="1:9" ht="127.5" customHeight="1" x14ac:dyDescent="0.25">
      <c r="A45" s="15" t="s">
        <v>166</v>
      </c>
      <c r="B45" s="16" t="s">
        <v>167</v>
      </c>
      <c r="C45" s="16" t="s">
        <v>168</v>
      </c>
      <c r="D45" s="16" t="s">
        <v>169</v>
      </c>
      <c r="E45" s="16" t="s">
        <v>170</v>
      </c>
      <c r="F45" s="17" t="s">
        <v>15</v>
      </c>
      <c r="G45" s="17" t="s">
        <v>16</v>
      </c>
      <c r="H45" s="17" t="s">
        <v>123</v>
      </c>
      <c r="I45" s="16" t="s">
        <v>171</v>
      </c>
    </row>
    <row r="46" spans="1:9" x14ac:dyDescent="0.25">
      <c r="A46" s="25" t="s">
        <v>172</v>
      </c>
      <c r="B46" s="26"/>
      <c r="C46" s="26"/>
      <c r="D46" s="26"/>
      <c r="E46" s="26"/>
      <c r="F46" s="26"/>
      <c r="G46" s="26"/>
      <c r="H46" s="26"/>
      <c r="I46" s="26"/>
    </row>
    <row r="47" spans="1:9" ht="127.5" customHeight="1" x14ac:dyDescent="0.25">
      <c r="A47" s="15" t="s">
        <v>173</v>
      </c>
      <c r="B47" s="16" t="s">
        <v>174</v>
      </c>
      <c r="C47" s="16" t="s">
        <v>175</v>
      </c>
      <c r="D47" s="16" t="s">
        <v>176</v>
      </c>
      <c r="E47" s="16" t="s">
        <v>177</v>
      </c>
      <c r="F47" s="17"/>
      <c r="G47" s="17"/>
      <c r="H47" s="17"/>
      <c r="I47" s="16" t="s">
        <v>178</v>
      </c>
    </row>
    <row r="48" spans="1:9" x14ac:dyDescent="0.25">
      <c r="A48" s="25" t="s">
        <v>179</v>
      </c>
      <c r="B48" s="26"/>
      <c r="C48" s="26"/>
      <c r="D48" s="26"/>
      <c r="E48" s="26"/>
      <c r="F48" s="26"/>
      <c r="G48" s="26"/>
      <c r="H48" s="26"/>
      <c r="I48" s="26"/>
    </row>
    <row r="49" spans="1:9" ht="102" customHeight="1" x14ac:dyDescent="0.25">
      <c r="A49" s="15" t="s">
        <v>180</v>
      </c>
      <c r="B49" s="16" t="s">
        <v>181</v>
      </c>
      <c r="C49" s="16" t="s">
        <v>182</v>
      </c>
      <c r="D49" s="16" t="s">
        <v>183</v>
      </c>
      <c r="E49" s="16" t="s">
        <v>184</v>
      </c>
      <c r="F49" s="17" t="s">
        <v>56</v>
      </c>
      <c r="G49" s="17" t="s">
        <v>16</v>
      </c>
      <c r="H49" s="17"/>
      <c r="I49" s="16" t="s">
        <v>185</v>
      </c>
    </row>
    <row r="50" spans="1:9" x14ac:dyDescent="0.25">
      <c r="A50" s="25" t="s">
        <v>186</v>
      </c>
      <c r="B50" s="26"/>
      <c r="C50" s="26"/>
      <c r="D50" s="26"/>
      <c r="E50" s="26"/>
      <c r="F50" s="26"/>
      <c r="G50" s="26"/>
      <c r="H50" s="26"/>
      <c r="I50" s="26"/>
    </row>
    <row r="51" spans="1:9" ht="89.25" customHeight="1" x14ac:dyDescent="0.25">
      <c r="A51" s="15" t="s">
        <v>187</v>
      </c>
      <c r="B51" s="16" t="s">
        <v>188</v>
      </c>
      <c r="C51" s="16" t="s">
        <v>189</v>
      </c>
      <c r="D51" s="16" t="s">
        <v>190</v>
      </c>
      <c r="E51" s="16" t="s">
        <v>191</v>
      </c>
      <c r="F51" s="17" t="s">
        <v>15</v>
      </c>
      <c r="G51" s="17" t="s">
        <v>16</v>
      </c>
      <c r="H51" s="17"/>
      <c r="I51" s="16" t="s">
        <v>192</v>
      </c>
    </row>
    <row r="52" spans="1:9" x14ac:dyDescent="0.25">
      <c r="A52" s="25" t="s">
        <v>193</v>
      </c>
      <c r="B52" s="26"/>
      <c r="C52" s="26"/>
      <c r="D52" s="26"/>
      <c r="E52" s="26"/>
      <c r="F52" s="26"/>
      <c r="G52" s="26"/>
      <c r="H52" s="26"/>
      <c r="I52" s="26"/>
    </row>
    <row r="53" spans="1:9" ht="102" customHeight="1" x14ac:dyDescent="0.25">
      <c r="A53" s="15" t="s">
        <v>194</v>
      </c>
      <c r="B53" s="16" t="s">
        <v>195</v>
      </c>
      <c r="C53" s="16" t="s">
        <v>196</v>
      </c>
      <c r="D53" s="16" t="s">
        <v>197</v>
      </c>
      <c r="E53" s="16" t="s">
        <v>198</v>
      </c>
      <c r="F53" s="17" t="s">
        <v>15</v>
      </c>
      <c r="G53" s="17" t="s">
        <v>16</v>
      </c>
      <c r="H53" s="17"/>
      <c r="I53" s="16" t="s">
        <v>199</v>
      </c>
    </row>
    <row r="54" spans="1:9" x14ac:dyDescent="0.25">
      <c r="A54" s="25" t="s">
        <v>200</v>
      </c>
      <c r="B54" s="26"/>
      <c r="C54" s="26"/>
      <c r="D54" s="26"/>
      <c r="E54" s="26"/>
      <c r="F54" s="26"/>
      <c r="G54" s="26"/>
      <c r="H54" s="26"/>
      <c r="I54" s="26"/>
    </row>
    <row r="55" spans="1:9" ht="140.25" customHeight="1" x14ac:dyDescent="0.25">
      <c r="A55" s="15" t="s">
        <v>201</v>
      </c>
      <c r="B55" s="16" t="s">
        <v>202</v>
      </c>
      <c r="C55" s="16" t="s">
        <v>203</v>
      </c>
      <c r="D55" s="16" t="s">
        <v>204</v>
      </c>
      <c r="E55" s="16" t="s">
        <v>205</v>
      </c>
      <c r="F55" s="17" t="s">
        <v>56</v>
      </c>
      <c r="G55" s="17" t="s">
        <v>16</v>
      </c>
      <c r="H55" s="17"/>
      <c r="I55" s="16" t="s">
        <v>206</v>
      </c>
    </row>
    <row r="56" spans="1:9" x14ac:dyDescent="0.25">
      <c r="A56" s="25" t="s">
        <v>207</v>
      </c>
      <c r="B56" s="26"/>
      <c r="C56" s="26"/>
      <c r="D56" s="26"/>
      <c r="E56" s="26"/>
      <c r="F56" s="26"/>
      <c r="G56" s="26"/>
      <c r="H56" s="26"/>
      <c r="I56" s="26"/>
    </row>
    <row r="57" spans="1:9" ht="89.25" customHeight="1" x14ac:dyDescent="0.25">
      <c r="A57" s="15" t="s">
        <v>208</v>
      </c>
      <c r="B57" s="16" t="s">
        <v>209</v>
      </c>
      <c r="C57" s="16" t="s">
        <v>210</v>
      </c>
      <c r="D57" s="16" t="s">
        <v>211</v>
      </c>
      <c r="E57" s="16" t="s">
        <v>212</v>
      </c>
      <c r="F57" s="17"/>
      <c r="G57" s="17"/>
      <c r="H57" s="17"/>
      <c r="I57" s="16" t="s">
        <v>213</v>
      </c>
    </row>
    <row r="58" spans="1:9" x14ac:dyDescent="0.25">
      <c r="A58" s="25" t="s">
        <v>214</v>
      </c>
      <c r="B58" s="26"/>
      <c r="C58" s="26"/>
      <c r="D58" s="26"/>
      <c r="E58" s="26"/>
      <c r="F58" s="26"/>
      <c r="G58" s="26"/>
      <c r="H58" s="26"/>
      <c r="I58" s="26"/>
    </row>
    <row r="59" spans="1:9" ht="102" customHeight="1" x14ac:dyDescent="0.25">
      <c r="A59" s="15" t="s">
        <v>215</v>
      </c>
      <c r="B59" s="16" t="s">
        <v>216</v>
      </c>
      <c r="C59" s="16" t="s">
        <v>217</v>
      </c>
      <c r="D59" s="16" t="s">
        <v>218</v>
      </c>
      <c r="E59" s="16" t="s">
        <v>219</v>
      </c>
      <c r="F59" s="17" t="s">
        <v>15</v>
      </c>
      <c r="G59" s="17" t="s">
        <v>16</v>
      </c>
      <c r="H59" s="17"/>
      <c r="I59" s="16" t="s">
        <v>220</v>
      </c>
    </row>
    <row r="60" spans="1:9" x14ac:dyDescent="0.25">
      <c r="A60" s="25" t="s">
        <v>221</v>
      </c>
      <c r="B60" s="26"/>
      <c r="C60" s="26"/>
      <c r="D60" s="26"/>
      <c r="E60" s="26"/>
      <c r="F60" s="26"/>
      <c r="G60" s="26"/>
      <c r="H60" s="26"/>
      <c r="I60" s="26"/>
    </row>
    <row r="61" spans="1:9" ht="140.25" customHeight="1" x14ac:dyDescent="0.25">
      <c r="A61" s="15" t="s">
        <v>222</v>
      </c>
      <c r="B61" s="16" t="s">
        <v>223</v>
      </c>
      <c r="C61" s="16" t="s">
        <v>224</v>
      </c>
      <c r="D61" s="16" t="s">
        <v>225</v>
      </c>
      <c r="E61" s="16" t="s">
        <v>226</v>
      </c>
      <c r="F61" s="17" t="s">
        <v>15</v>
      </c>
      <c r="G61" s="17" t="s">
        <v>16</v>
      </c>
      <c r="H61" s="17"/>
      <c r="I61" s="16" t="s">
        <v>227</v>
      </c>
    </row>
    <row r="62" spans="1:9" x14ac:dyDescent="0.25">
      <c r="A62" s="25" t="s">
        <v>228</v>
      </c>
      <c r="B62" s="26"/>
      <c r="C62" s="26"/>
      <c r="D62" s="26"/>
      <c r="E62" s="26"/>
      <c r="F62" s="26"/>
      <c r="G62" s="26"/>
      <c r="H62" s="26"/>
      <c r="I62" s="26"/>
    </row>
    <row r="63" spans="1:9" ht="127.5" customHeight="1" x14ac:dyDescent="0.25">
      <c r="A63" s="15" t="s">
        <v>229</v>
      </c>
      <c r="B63" s="16" t="s">
        <v>230</v>
      </c>
      <c r="C63" s="16" t="s">
        <v>231</v>
      </c>
      <c r="D63" s="16" t="s">
        <v>232</v>
      </c>
      <c r="E63" s="16" t="s">
        <v>233</v>
      </c>
      <c r="F63" s="17"/>
      <c r="G63" s="17"/>
      <c r="H63" s="17"/>
      <c r="I63" s="16" t="s">
        <v>234</v>
      </c>
    </row>
    <row r="64" spans="1:9" x14ac:dyDescent="0.25">
      <c r="A64" s="23" t="s">
        <v>235</v>
      </c>
    </row>
    <row r="65" spans="1:9" ht="140.25" customHeight="1" x14ac:dyDescent="0.25">
      <c r="A65" s="15" t="s">
        <v>236</v>
      </c>
      <c r="B65" s="16" t="s">
        <v>237</v>
      </c>
      <c r="C65" s="16" t="s">
        <v>238</v>
      </c>
      <c r="D65" s="16" t="s">
        <v>239</v>
      </c>
      <c r="E65" s="16" t="s">
        <v>240</v>
      </c>
      <c r="F65" s="17" t="s">
        <v>15</v>
      </c>
      <c r="G65" s="17" t="s">
        <v>16</v>
      </c>
      <c r="H65" s="17"/>
      <c r="I65" s="16" t="s">
        <v>241</v>
      </c>
    </row>
  </sheetData>
  <mergeCells count="29">
    <mergeCell ref="A62:I62"/>
    <mergeCell ref="A38:I38"/>
    <mergeCell ref="A52:I52"/>
    <mergeCell ref="A19:I19"/>
    <mergeCell ref="A28:I28"/>
    <mergeCell ref="A44:I44"/>
    <mergeCell ref="A40:I40"/>
    <mergeCell ref="A31:I31"/>
    <mergeCell ref="A58:I58"/>
    <mergeCell ref="A48:I48"/>
    <mergeCell ref="A60:I60"/>
    <mergeCell ref="A36:I36"/>
    <mergeCell ref="A54:I54"/>
    <mergeCell ref="A2:I2"/>
    <mergeCell ref="A33:I33"/>
    <mergeCell ref="A42:I42"/>
    <mergeCell ref="A5:I5"/>
    <mergeCell ref="A23:I23"/>
    <mergeCell ref="A17:I17"/>
    <mergeCell ref="A13:I13"/>
    <mergeCell ref="A9:I9"/>
    <mergeCell ref="A15:I15"/>
    <mergeCell ref="A11:I11"/>
    <mergeCell ref="A7:I7"/>
    <mergeCell ref="A25:I25"/>
    <mergeCell ref="A46:I46"/>
    <mergeCell ref="A56:I56"/>
    <mergeCell ref="A50:I50"/>
    <mergeCell ref="A21:I21"/>
  </mergeCells>
  <dataValidations count="1">
    <dataValidation type="list" allowBlank="1" sqref="F3:F4 F6 F8 F10 F12 F14 F16 F18 F20 F22 F24 F26 F28:F29 F31:F32 F34 F36:F37 F39 F41 F43 F45 F47 F49 F51 F53 F55 F57 F59 F61 F63 F65 F67" xr:uid="{00000000-0002-0000-1400-000000000000}">
      <formula1>"Pass,Fail,N/A"</formula1>
    </dataValidation>
  </dataValidations>
  <pageMargins left="0.7" right="0.7" top="0.75" bottom="0.75" header="0.3" footer="0.3"/>
  <pageSetup orientation="portrait" horizontalDpi="4294967295" verticalDpi="429496729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40"/>
  <sheetViews>
    <sheetView workbookViewId="0">
      <pane ySplit="1" topLeftCell="A3" activePane="bottomLeft" state="frozen"/>
      <selection pane="bottomLeft" activeCell="A8" sqref="A8:I8"/>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2524</v>
      </c>
      <c r="B2" s="26"/>
      <c r="C2" s="26"/>
      <c r="D2" s="26"/>
      <c r="E2" s="26"/>
      <c r="F2" s="26"/>
      <c r="G2" s="26"/>
      <c r="H2" s="26"/>
      <c r="I2" s="26"/>
    </row>
    <row r="3" spans="1:9" ht="54.4" customHeight="1" x14ac:dyDescent="0.25">
      <c r="A3" s="15" t="s">
        <v>2525</v>
      </c>
      <c r="B3" s="16" t="s">
        <v>2526</v>
      </c>
      <c r="C3" s="16" t="s">
        <v>2527</v>
      </c>
      <c r="D3" s="16" t="s">
        <v>2528</v>
      </c>
      <c r="E3" s="16" t="s">
        <v>2529</v>
      </c>
      <c r="F3" s="17" t="s">
        <v>15</v>
      </c>
      <c r="G3" s="17" t="s">
        <v>16</v>
      </c>
      <c r="H3" s="17"/>
      <c r="I3" s="16" t="s">
        <v>2530</v>
      </c>
    </row>
    <row r="4" spans="1:9" ht="41.85" customHeight="1" x14ac:dyDescent="0.25">
      <c r="A4" s="18" t="s">
        <v>2531</v>
      </c>
      <c r="B4" s="19" t="s">
        <v>2526</v>
      </c>
      <c r="C4" s="19" t="s">
        <v>2532</v>
      </c>
      <c r="D4" s="19" t="s">
        <v>2533</v>
      </c>
      <c r="E4" s="19" t="s">
        <v>2534</v>
      </c>
      <c r="F4" s="17" t="s">
        <v>15</v>
      </c>
      <c r="G4" s="17" t="s">
        <v>16</v>
      </c>
      <c r="H4" s="17"/>
      <c r="I4" s="19" t="s">
        <v>2535</v>
      </c>
    </row>
    <row r="5" spans="1:9" ht="41.85" customHeight="1" x14ac:dyDescent="0.25">
      <c r="A5" s="15" t="s">
        <v>2536</v>
      </c>
      <c r="B5" s="16" t="s">
        <v>2537</v>
      </c>
      <c r="C5" s="16" t="s">
        <v>2538</v>
      </c>
      <c r="D5" s="16" t="s">
        <v>2539</v>
      </c>
      <c r="E5" s="16" t="s">
        <v>2540</v>
      </c>
      <c r="F5" s="17" t="s">
        <v>15</v>
      </c>
      <c r="G5" s="17" t="s">
        <v>16</v>
      </c>
      <c r="H5" s="17"/>
      <c r="I5" s="16" t="s">
        <v>2541</v>
      </c>
    </row>
    <row r="6" spans="1:9" ht="18" customHeight="1" x14ac:dyDescent="0.25">
      <c r="A6" s="25" t="s">
        <v>2542</v>
      </c>
      <c r="B6" s="26"/>
      <c r="C6" s="26"/>
      <c r="D6" s="26"/>
      <c r="E6" s="26"/>
      <c r="F6" s="26"/>
      <c r="G6" s="26"/>
      <c r="H6" s="26"/>
      <c r="I6" s="26"/>
    </row>
    <row r="7" spans="1:9" ht="66.95" customHeight="1" x14ac:dyDescent="0.25">
      <c r="A7" s="15" t="s">
        <v>891</v>
      </c>
      <c r="B7" s="16" t="s">
        <v>2543</v>
      </c>
      <c r="C7" s="16" t="s">
        <v>2544</v>
      </c>
      <c r="D7" s="16" t="s">
        <v>2545</v>
      </c>
      <c r="E7" s="16" t="s">
        <v>2546</v>
      </c>
      <c r="F7" s="17" t="s">
        <v>15</v>
      </c>
      <c r="G7" s="17" t="s">
        <v>16</v>
      </c>
      <c r="H7" s="17"/>
      <c r="I7" s="16" t="s">
        <v>2547</v>
      </c>
    </row>
    <row r="8" spans="1:9" ht="29.25" customHeight="1" x14ac:dyDescent="0.25">
      <c r="A8" s="25" t="s">
        <v>2548</v>
      </c>
      <c r="B8" s="26"/>
      <c r="C8" s="26"/>
      <c r="D8" s="26"/>
      <c r="E8" s="26"/>
      <c r="F8" s="26"/>
      <c r="G8" s="26"/>
      <c r="H8" s="26"/>
      <c r="I8" s="26"/>
    </row>
    <row r="9" spans="1:9" ht="18" customHeight="1" x14ac:dyDescent="0.25">
      <c r="A9" s="18" t="s">
        <v>2549</v>
      </c>
      <c r="B9" s="19" t="s">
        <v>2550</v>
      </c>
      <c r="C9" s="19" t="s">
        <v>2551</v>
      </c>
      <c r="D9" s="19" t="s">
        <v>2552</v>
      </c>
      <c r="E9" s="19" t="s">
        <v>2553</v>
      </c>
      <c r="F9" s="17" t="s">
        <v>15</v>
      </c>
      <c r="G9" s="17" t="s">
        <v>16</v>
      </c>
      <c r="H9" s="17"/>
      <c r="I9" s="19" t="s">
        <v>2554</v>
      </c>
    </row>
    <row r="10" spans="1:9" ht="41.85" customHeight="1" x14ac:dyDescent="0.25">
      <c r="A10" s="25" t="s">
        <v>2555</v>
      </c>
      <c r="B10" s="26"/>
      <c r="C10" s="26"/>
      <c r="D10" s="26"/>
      <c r="E10" s="26"/>
      <c r="F10" s="26"/>
      <c r="G10" s="26"/>
      <c r="H10" s="26"/>
      <c r="I10" s="26"/>
    </row>
    <row r="11" spans="1:9" ht="18" customHeight="1" x14ac:dyDescent="0.25">
      <c r="A11" s="15" t="s">
        <v>897</v>
      </c>
      <c r="B11" s="16" t="s">
        <v>2556</v>
      </c>
      <c r="C11" s="16" t="s">
        <v>2557</v>
      </c>
      <c r="D11" s="16" t="s">
        <v>2558</v>
      </c>
      <c r="E11" s="16" t="s">
        <v>2559</v>
      </c>
      <c r="F11" s="17" t="s">
        <v>15</v>
      </c>
      <c r="G11" s="17" t="s">
        <v>16</v>
      </c>
      <c r="H11" s="17"/>
      <c r="I11" s="16" t="s">
        <v>2560</v>
      </c>
    </row>
    <row r="12" spans="1:9" ht="41.85" customHeight="1" x14ac:dyDescent="0.25">
      <c r="A12" s="25" t="s">
        <v>2561</v>
      </c>
      <c r="B12" s="26"/>
      <c r="C12" s="26"/>
      <c r="D12" s="26"/>
      <c r="E12" s="26"/>
      <c r="F12" s="26"/>
      <c r="G12" s="26"/>
      <c r="H12" s="26"/>
      <c r="I12" s="26"/>
    </row>
    <row r="13" spans="1:9" ht="54.4" customHeight="1" x14ac:dyDescent="0.25">
      <c r="A13" s="15" t="s">
        <v>911</v>
      </c>
      <c r="B13" s="16" t="s">
        <v>2562</v>
      </c>
      <c r="C13" s="16" t="s">
        <v>2563</v>
      </c>
      <c r="D13" s="16" t="s">
        <v>2564</v>
      </c>
      <c r="E13" s="16" t="s">
        <v>2565</v>
      </c>
      <c r="F13" s="17" t="s">
        <v>15</v>
      </c>
      <c r="G13" s="17" t="s">
        <v>16</v>
      </c>
      <c r="H13" s="17"/>
      <c r="I13" s="16" t="s">
        <v>2566</v>
      </c>
    </row>
    <row r="14" spans="1:9" ht="18" customHeight="1" x14ac:dyDescent="0.25">
      <c r="A14" s="25" t="s">
        <v>2567</v>
      </c>
      <c r="B14" s="26"/>
      <c r="C14" s="26"/>
      <c r="D14" s="26"/>
      <c r="E14" s="26"/>
      <c r="F14" s="26"/>
      <c r="G14" s="26"/>
      <c r="H14" s="26"/>
      <c r="I14" s="26"/>
    </row>
    <row r="15" spans="1:9" ht="41.85" customHeight="1" x14ac:dyDescent="0.25">
      <c r="A15" s="15" t="s">
        <v>2568</v>
      </c>
      <c r="B15" s="16" t="s">
        <v>2569</v>
      </c>
      <c r="C15" s="16" t="s">
        <v>2570</v>
      </c>
      <c r="D15" s="16" t="s">
        <v>2571</v>
      </c>
      <c r="E15" s="16" t="s">
        <v>2572</v>
      </c>
      <c r="F15" s="17" t="s">
        <v>15</v>
      </c>
      <c r="G15" s="17" t="s">
        <v>16</v>
      </c>
      <c r="H15" s="17"/>
      <c r="I15" s="16" t="s">
        <v>2573</v>
      </c>
    </row>
    <row r="16" spans="1:9" ht="18" customHeight="1" x14ac:dyDescent="0.25">
      <c r="A16" s="18" t="s">
        <v>2574</v>
      </c>
      <c r="B16" s="19" t="s">
        <v>2575</v>
      </c>
      <c r="C16" s="19" t="s">
        <v>2576</v>
      </c>
      <c r="D16" s="19" t="s">
        <v>2577</v>
      </c>
      <c r="E16" s="19" t="s">
        <v>2578</v>
      </c>
      <c r="F16" s="17" t="s">
        <v>15</v>
      </c>
      <c r="G16" s="17" t="s">
        <v>16</v>
      </c>
      <c r="H16" s="17"/>
      <c r="I16" s="19" t="s">
        <v>2579</v>
      </c>
    </row>
    <row r="17" spans="1:9" ht="54.4" customHeight="1" x14ac:dyDescent="0.25">
      <c r="A17" s="25" t="s">
        <v>2580</v>
      </c>
      <c r="B17" s="26"/>
      <c r="C17" s="26"/>
      <c r="D17" s="26"/>
      <c r="E17" s="26"/>
      <c r="F17" s="26"/>
      <c r="G17" s="26"/>
      <c r="H17" s="26"/>
      <c r="I17" s="26"/>
    </row>
    <row r="18" spans="1:9" ht="18" customHeight="1" x14ac:dyDescent="0.25">
      <c r="A18" s="15" t="s">
        <v>2581</v>
      </c>
      <c r="B18" s="16" t="s">
        <v>2582</v>
      </c>
      <c r="C18" s="16" t="s">
        <v>2583</v>
      </c>
      <c r="D18" s="16" t="s">
        <v>2584</v>
      </c>
      <c r="E18" s="16" t="s">
        <v>2585</v>
      </c>
      <c r="F18" s="17"/>
      <c r="G18" s="17"/>
      <c r="H18" s="17"/>
      <c r="I18" s="16" t="s">
        <v>2586</v>
      </c>
    </row>
    <row r="19" spans="1:9" ht="29.25" customHeight="1" x14ac:dyDescent="0.25">
      <c r="A19" s="18" t="s">
        <v>2587</v>
      </c>
      <c r="B19" s="19" t="s">
        <v>2582</v>
      </c>
      <c r="C19" s="19" t="s">
        <v>2588</v>
      </c>
      <c r="D19" s="19" t="s">
        <v>2589</v>
      </c>
      <c r="E19" s="19" t="s">
        <v>2590</v>
      </c>
      <c r="F19" s="17" t="s">
        <v>15</v>
      </c>
      <c r="G19" s="17" t="s">
        <v>16</v>
      </c>
      <c r="H19" s="17"/>
      <c r="I19" s="19" t="s">
        <v>2591</v>
      </c>
    </row>
    <row r="20" spans="1:9" ht="54.4" customHeight="1" x14ac:dyDescent="0.25">
      <c r="A20" s="15" t="s">
        <v>2592</v>
      </c>
      <c r="B20" s="16" t="s">
        <v>2593</v>
      </c>
      <c r="C20" s="16" t="s">
        <v>2594</v>
      </c>
      <c r="D20" s="16" t="s">
        <v>2595</v>
      </c>
      <c r="E20" s="16" t="s">
        <v>2596</v>
      </c>
      <c r="F20" s="17" t="s">
        <v>15</v>
      </c>
      <c r="G20" s="17" t="s">
        <v>16</v>
      </c>
      <c r="H20" s="17"/>
      <c r="I20" s="16" t="s">
        <v>2597</v>
      </c>
    </row>
    <row r="21" spans="1:9" ht="18" customHeight="1" x14ac:dyDescent="0.25">
      <c r="A21" s="25" t="s">
        <v>2598</v>
      </c>
      <c r="B21" s="26"/>
      <c r="C21" s="26"/>
      <c r="D21" s="26"/>
      <c r="E21" s="26"/>
      <c r="F21" s="26"/>
      <c r="G21" s="26"/>
      <c r="H21" s="26"/>
      <c r="I21" s="26"/>
    </row>
    <row r="22" spans="1:9" ht="66.95" customHeight="1" x14ac:dyDescent="0.25">
      <c r="A22" s="15" t="s">
        <v>2599</v>
      </c>
      <c r="B22" s="16" t="s">
        <v>2600</v>
      </c>
      <c r="C22" s="16" t="s">
        <v>2601</v>
      </c>
      <c r="D22" s="16" t="s">
        <v>2602</v>
      </c>
      <c r="E22" s="16" t="s">
        <v>2603</v>
      </c>
      <c r="F22" s="17"/>
      <c r="G22" s="17"/>
      <c r="H22" s="17"/>
      <c r="I22" s="16" t="s">
        <v>2604</v>
      </c>
    </row>
    <row r="23" spans="1:9" ht="66.95" customHeight="1" x14ac:dyDescent="0.25">
      <c r="A23" s="18" t="s">
        <v>2605</v>
      </c>
      <c r="B23" s="19" t="s">
        <v>2606</v>
      </c>
      <c r="C23" s="19" t="s">
        <v>2607</v>
      </c>
      <c r="D23" s="19" t="s">
        <v>2608</v>
      </c>
      <c r="E23" s="19" t="s">
        <v>2609</v>
      </c>
      <c r="F23" s="17" t="s">
        <v>15</v>
      </c>
      <c r="G23" s="17" t="s">
        <v>16</v>
      </c>
      <c r="H23" s="17"/>
      <c r="I23" s="19" t="s">
        <v>2610</v>
      </c>
    </row>
    <row r="24" spans="1:9" ht="66.95" customHeight="1" x14ac:dyDescent="0.25">
      <c r="A24" s="25" t="s">
        <v>2611</v>
      </c>
      <c r="B24" s="26"/>
      <c r="C24" s="26"/>
      <c r="D24" s="26"/>
      <c r="E24" s="26"/>
      <c r="F24" s="26"/>
      <c r="G24" s="26"/>
      <c r="H24" s="26"/>
      <c r="I24" s="26"/>
    </row>
    <row r="25" spans="1:9" ht="18" customHeight="1" x14ac:dyDescent="0.25">
      <c r="A25" s="15" t="s">
        <v>2612</v>
      </c>
      <c r="B25" s="16" t="s">
        <v>2613</v>
      </c>
      <c r="C25" s="16" t="s">
        <v>2614</v>
      </c>
      <c r="D25" s="16" t="s">
        <v>2615</v>
      </c>
      <c r="E25" s="16" t="s">
        <v>2616</v>
      </c>
      <c r="F25" s="17" t="s">
        <v>15</v>
      </c>
      <c r="G25" s="17" t="s">
        <v>16</v>
      </c>
      <c r="H25" s="17"/>
      <c r="I25" s="16" t="s">
        <v>2617</v>
      </c>
    </row>
    <row r="26" spans="1:9" ht="41.85" customHeight="1" x14ac:dyDescent="0.25">
      <c r="A26" s="18" t="s">
        <v>2618</v>
      </c>
      <c r="B26" s="19" t="s">
        <v>2619</v>
      </c>
      <c r="C26" s="19" t="s">
        <v>2620</v>
      </c>
      <c r="D26" s="19" t="s">
        <v>2621</v>
      </c>
      <c r="E26" s="19" t="s">
        <v>2622</v>
      </c>
      <c r="F26" s="17" t="s">
        <v>15</v>
      </c>
      <c r="G26" s="17" t="s">
        <v>16</v>
      </c>
      <c r="H26" s="17"/>
      <c r="I26" s="19" t="s">
        <v>2623</v>
      </c>
    </row>
    <row r="27" spans="1:9" ht="41.85" customHeight="1" x14ac:dyDescent="0.25">
      <c r="A27" s="25" t="s">
        <v>2624</v>
      </c>
      <c r="B27" s="26"/>
      <c r="C27" s="26"/>
      <c r="D27" s="26"/>
      <c r="E27" s="26"/>
      <c r="F27" s="26"/>
      <c r="G27" s="26"/>
      <c r="H27" s="26"/>
      <c r="I27" s="26"/>
    </row>
    <row r="28" spans="1:9" ht="18" customHeight="1" x14ac:dyDescent="0.25">
      <c r="A28" s="22" t="s">
        <v>1201</v>
      </c>
    </row>
    <row r="29" spans="1:9" ht="41.85" customHeight="1" x14ac:dyDescent="0.25">
      <c r="A29" s="25" t="s">
        <v>2625</v>
      </c>
      <c r="B29" s="26"/>
      <c r="C29" s="26"/>
      <c r="D29" s="26"/>
      <c r="E29" s="26"/>
      <c r="F29" s="26"/>
      <c r="G29" s="26"/>
      <c r="H29" s="26"/>
      <c r="I29" s="26"/>
    </row>
    <row r="30" spans="1:9" ht="54.4" customHeight="1" x14ac:dyDescent="0.25">
      <c r="A30" s="15" t="s">
        <v>1022</v>
      </c>
      <c r="B30" s="16" t="s">
        <v>2626</v>
      </c>
      <c r="C30" s="16" t="s">
        <v>2627</v>
      </c>
      <c r="D30" s="16" t="s">
        <v>2628</v>
      </c>
      <c r="E30" s="16" t="s">
        <v>2629</v>
      </c>
      <c r="F30" s="17" t="s">
        <v>15</v>
      </c>
      <c r="G30" s="17" t="s">
        <v>16</v>
      </c>
      <c r="H30" s="17" t="s">
        <v>123</v>
      </c>
      <c r="I30" s="16" t="s">
        <v>2630</v>
      </c>
    </row>
    <row r="31" spans="1:9" ht="18" customHeight="1" x14ac:dyDescent="0.25">
      <c r="A31" s="25" t="s">
        <v>2631</v>
      </c>
      <c r="B31" s="26"/>
      <c r="C31" s="26"/>
      <c r="D31" s="26"/>
      <c r="E31" s="26"/>
      <c r="F31" s="26"/>
      <c r="G31" s="26"/>
      <c r="H31" s="26"/>
      <c r="I31" s="26"/>
    </row>
    <row r="32" spans="1:9" ht="15" customHeight="1" x14ac:dyDescent="0.25">
      <c r="A32" s="15" t="s">
        <v>1025</v>
      </c>
      <c r="B32" s="16" t="s">
        <v>2632</v>
      </c>
      <c r="C32" s="16" t="s">
        <v>2633</v>
      </c>
      <c r="D32" s="16" t="s">
        <v>2634</v>
      </c>
      <c r="E32" s="16" t="s">
        <v>2635</v>
      </c>
      <c r="F32" s="17"/>
      <c r="G32" s="17"/>
      <c r="H32" s="17"/>
      <c r="I32" s="16" t="s">
        <v>2636</v>
      </c>
    </row>
    <row r="33" spans="1:9" ht="18" customHeight="1" x14ac:dyDescent="0.25">
      <c r="A33" s="25" t="s">
        <v>2637</v>
      </c>
      <c r="B33" s="26"/>
      <c r="C33" s="26"/>
      <c r="D33" s="26"/>
      <c r="E33" s="26"/>
      <c r="F33" s="26"/>
      <c r="G33" s="26"/>
      <c r="H33" s="26"/>
      <c r="I33" s="26"/>
    </row>
    <row r="34" spans="1:9" ht="54.4" customHeight="1" x14ac:dyDescent="0.25">
      <c r="A34" s="15" t="s">
        <v>1029</v>
      </c>
      <c r="B34" s="16" t="s">
        <v>2638</v>
      </c>
      <c r="C34" s="16" t="s">
        <v>2639</v>
      </c>
      <c r="D34" s="16" t="s">
        <v>2640</v>
      </c>
      <c r="E34" s="16" t="s">
        <v>2641</v>
      </c>
      <c r="F34" s="17" t="s">
        <v>15</v>
      </c>
      <c r="G34" s="17" t="s">
        <v>16</v>
      </c>
      <c r="H34" s="17" t="s">
        <v>123</v>
      </c>
      <c r="I34" s="16" t="s">
        <v>2642</v>
      </c>
    </row>
    <row r="35" spans="1:9" ht="18" customHeight="1" x14ac:dyDescent="0.25">
      <c r="A35" s="25" t="s">
        <v>2643</v>
      </c>
      <c r="B35" s="26"/>
      <c r="C35" s="26"/>
      <c r="D35" s="26"/>
      <c r="E35" s="26"/>
      <c r="F35" s="26"/>
      <c r="G35" s="26"/>
      <c r="H35" s="26"/>
      <c r="I35" s="26"/>
    </row>
    <row r="36" spans="1:9" ht="41.85" customHeight="1" x14ac:dyDescent="0.25">
      <c r="A36" s="15" t="s">
        <v>1032</v>
      </c>
      <c r="B36" s="16" t="s">
        <v>2644</v>
      </c>
      <c r="C36" s="16" t="s">
        <v>2645</v>
      </c>
      <c r="D36" s="16" t="s">
        <v>2646</v>
      </c>
      <c r="E36" s="16" t="s">
        <v>2647</v>
      </c>
      <c r="F36" s="17" t="s">
        <v>15</v>
      </c>
      <c r="G36" s="17" t="s">
        <v>16</v>
      </c>
      <c r="H36" s="17" t="s">
        <v>123</v>
      </c>
      <c r="I36" s="16" t="s">
        <v>2648</v>
      </c>
    </row>
    <row r="37" spans="1:9" ht="18" customHeight="1" x14ac:dyDescent="0.25"/>
    <row r="38" spans="1:9" ht="54.4" customHeight="1" x14ac:dyDescent="0.25"/>
    <row r="39" spans="1:9" ht="18" customHeight="1" x14ac:dyDescent="0.25"/>
    <row r="40" spans="1:9" ht="41.85" customHeight="1" x14ac:dyDescent="0.25"/>
  </sheetData>
  <mergeCells count="14">
    <mergeCell ref="A35:I35"/>
    <mergeCell ref="A29:I29"/>
    <mergeCell ref="A33:I33"/>
    <mergeCell ref="A2:I2"/>
    <mergeCell ref="A10:I10"/>
    <mergeCell ref="A14:I14"/>
    <mergeCell ref="A17:I17"/>
    <mergeCell ref="A27:I27"/>
    <mergeCell ref="A31:I31"/>
    <mergeCell ref="A8:I8"/>
    <mergeCell ref="A6:I6"/>
    <mergeCell ref="A12:I12"/>
    <mergeCell ref="A24:I24"/>
    <mergeCell ref="A21:I21"/>
  </mergeCells>
  <dataValidations count="1">
    <dataValidation type="list" allowBlank="1" sqref="F3:F5 F7:F8 F10 F12:F13 F15 F17 F19:F20 F22:F24 F26:F27 F29:F30 F34 F36 F38 F40" xr:uid="{00000000-0002-0000-1500-000000000000}">
      <formula1>"Pass,Fail,N/A"</formula1>
    </dataValidation>
  </dataValidations>
  <pageMargins left="0.7" right="0.7" top="0.75" bottom="0.75" header="0.3" footer="0.3"/>
  <pageSetup orientation="portrait" horizontalDpi="4294967295" verticalDpi="429496729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
  <sheetViews>
    <sheetView workbookViewId="0">
      <pane ySplit="1" topLeftCell="A2" activePane="bottomLeft" state="frozen"/>
      <selection pane="bottomLeft"/>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2649</v>
      </c>
      <c r="B2" s="26"/>
      <c r="C2" s="26"/>
      <c r="D2" s="26"/>
      <c r="E2" s="26"/>
      <c r="F2" s="26"/>
      <c r="G2" s="26"/>
      <c r="H2" s="26"/>
      <c r="I2" s="26"/>
    </row>
    <row r="3" spans="1:9" ht="41.85" customHeight="1" x14ac:dyDescent="0.25">
      <c r="A3" s="15" t="s">
        <v>2650</v>
      </c>
      <c r="B3" s="16" t="s">
        <v>2651</v>
      </c>
      <c r="C3" s="16" t="s">
        <v>2652</v>
      </c>
      <c r="D3" s="16" t="s">
        <v>2653</v>
      </c>
      <c r="E3" s="16" t="s">
        <v>2654</v>
      </c>
      <c r="F3" s="17" t="s">
        <v>15</v>
      </c>
      <c r="G3" s="17" t="s">
        <v>16</v>
      </c>
      <c r="H3" s="17"/>
      <c r="I3" s="16" t="s">
        <v>2655</v>
      </c>
    </row>
    <row r="4" spans="1:9" ht="41.85" customHeight="1" x14ac:dyDescent="0.25">
      <c r="A4" s="18" t="s">
        <v>2656</v>
      </c>
      <c r="B4" s="19" t="s">
        <v>2657</v>
      </c>
      <c r="C4" s="19" t="s">
        <v>2658</v>
      </c>
      <c r="D4" s="19" t="s">
        <v>2659</v>
      </c>
      <c r="E4" s="19" t="s">
        <v>2660</v>
      </c>
      <c r="F4" s="17"/>
      <c r="G4" s="17"/>
      <c r="H4" s="17"/>
      <c r="I4" s="19" t="s">
        <v>2661</v>
      </c>
    </row>
    <row r="5" spans="1:9" ht="18" customHeight="1" x14ac:dyDescent="0.25">
      <c r="A5" s="25" t="s">
        <v>2662</v>
      </c>
      <c r="B5" s="26"/>
      <c r="C5" s="26"/>
      <c r="D5" s="26"/>
      <c r="E5" s="26"/>
      <c r="F5" s="26"/>
      <c r="G5" s="26"/>
      <c r="H5" s="26"/>
      <c r="I5" s="26"/>
    </row>
    <row r="6" spans="1:9" ht="54.4" customHeight="1" x14ac:dyDescent="0.25">
      <c r="A6" s="15" t="s">
        <v>633</v>
      </c>
      <c r="B6" s="16" t="s">
        <v>2663</v>
      </c>
      <c r="C6" s="16" t="s">
        <v>2664</v>
      </c>
      <c r="D6" s="16" t="s">
        <v>2665</v>
      </c>
      <c r="E6" s="16" t="s">
        <v>2666</v>
      </c>
      <c r="F6" s="17" t="s">
        <v>15</v>
      </c>
      <c r="G6" s="17" t="s">
        <v>16</v>
      </c>
      <c r="H6" s="17"/>
      <c r="I6" s="16" t="s">
        <v>2667</v>
      </c>
    </row>
    <row r="7" spans="1:9" ht="18" customHeight="1" x14ac:dyDescent="0.25">
      <c r="A7" s="25" t="s">
        <v>2668</v>
      </c>
      <c r="B7" s="26"/>
      <c r="C7" s="26"/>
      <c r="D7" s="26"/>
      <c r="E7" s="26"/>
      <c r="F7" s="26"/>
      <c r="G7" s="26"/>
      <c r="H7" s="26"/>
      <c r="I7" s="26"/>
    </row>
    <row r="8" spans="1:9" ht="41.85" customHeight="1" x14ac:dyDescent="0.25">
      <c r="A8" s="15" t="s">
        <v>637</v>
      </c>
      <c r="B8" s="16" t="s">
        <v>2669</v>
      </c>
      <c r="C8" s="16" t="s">
        <v>2670</v>
      </c>
      <c r="D8" s="16" t="s">
        <v>2671</v>
      </c>
      <c r="E8" s="16" t="s">
        <v>2672</v>
      </c>
      <c r="F8" s="17"/>
      <c r="G8" s="17"/>
      <c r="H8" s="17"/>
      <c r="I8" s="16" t="s">
        <v>2673</v>
      </c>
    </row>
    <row r="9" spans="1:9" ht="18" customHeight="1" x14ac:dyDescent="0.25">
      <c r="A9" s="25" t="s">
        <v>2674</v>
      </c>
      <c r="B9" s="26"/>
      <c r="C9" s="26"/>
      <c r="D9" s="26"/>
      <c r="E9" s="26"/>
      <c r="F9" s="26"/>
      <c r="G9" s="26"/>
      <c r="H9" s="26"/>
      <c r="I9" s="26"/>
    </row>
    <row r="10" spans="1:9" ht="54.4" customHeight="1" x14ac:dyDescent="0.25">
      <c r="A10" s="15" t="s">
        <v>768</v>
      </c>
      <c r="B10" s="16" t="s">
        <v>2675</v>
      </c>
      <c r="C10" s="16" t="s">
        <v>2676</v>
      </c>
      <c r="D10" s="16" t="s">
        <v>2677</v>
      </c>
      <c r="E10" s="16" t="s">
        <v>2678</v>
      </c>
      <c r="F10" s="17" t="s">
        <v>15</v>
      </c>
      <c r="G10" s="17" t="s">
        <v>16</v>
      </c>
      <c r="H10" s="17" t="s">
        <v>123</v>
      </c>
      <c r="I10" s="16" t="s">
        <v>2679</v>
      </c>
    </row>
    <row r="11" spans="1:9" ht="18" customHeight="1" x14ac:dyDescent="0.25">
      <c r="A11" s="25" t="s">
        <v>2680</v>
      </c>
      <c r="B11" s="26"/>
      <c r="C11" s="26"/>
      <c r="D11" s="26"/>
      <c r="E11" s="26"/>
      <c r="F11" s="26"/>
      <c r="G11" s="26"/>
      <c r="H11" s="26"/>
      <c r="I11" s="26"/>
    </row>
    <row r="12" spans="1:9" ht="54.4" customHeight="1" x14ac:dyDescent="0.25">
      <c r="A12" s="15" t="s">
        <v>771</v>
      </c>
      <c r="B12" s="16" t="s">
        <v>2681</v>
      </c>
      <c r="C12" s="16" t="s">
        <v>2682</v>
      </c>
      <c r="D12" s="16" t="s">
        <v>2683</v>
      </c>
      <c r="E12" s="16" t="s">
        <v>2684</v>
      </c>
      <c r="F12" s="17" t="s">
        <v>15</v>
      </c>
      <c r="G12" s="17" t="s">
        <v>16</v>
      </c>
      <c r="H12" s="17" t="s">
        <v>123</v>
      </c>
      <c r="I12" s="16" t="s">
        <v>2685</v>
      </c>
    </row>
    <row r="13" spans="1:9" ht="18" customHeight="1" x14ac:dyDescent="0.25">
      <c r="A13" s="25" t="s">
        <v>2686</v>
      </c>
      <c r="B13" s="26"/>
      <c r="C13" s="26"/>
      <c r="D13" s="26"/>
      <c r="E13" s="26"/>
      <c r="F13" s="26"/>
      <c r="G13" s="26"/>
      <c r="H13" s="26"/>
      <c r="I13" s="26"/>
    </row>
    <row r="14" spans="1:9" ht="41.85" customHeight="1" x14ac:dyDescent="0.25">
      <c r="A14" s="15" t="s">
        <v>2687</v>
      </c>
      <c r="B14" s="16" t="s">
        <v>2688</v>
      </c>
      <c r="C14" s="16" t="s">
        <v>2689</v>
      </c>
      <c r="D14" s="16" t="s">
        <v>2690</v>
      </c>
      <c r="E14" s="16" t="s">
        <v>2691</v>
      </c>
      <c r="F14" s="17"/>
      <c r="G14" s="17"/>
      <c r="H14" s="17"/>
      <c r="I14" s="16" t="s">
        <v>2692</v>
      </c>
    </row>
    <row r="15" spans="1:9" ht="41.85" customHeight="1" x14ac:dyDescent="0.25">
      <c r="A15" s="18" t="s">
        <v>2693</v>
      </c>
      <c r="B15" s="19" t="s">
        <v>2694</v>
      </c>
      <c r="C15" s="19" t="s">
        <v>2695</v>
      </c>
      <c r="D15" s="19" t="s">
        <v>2696</v>
      </c>
      <c r="E15" s="19" t="s">
        <v>2697</v>
      </c>
      <c r="F15" s="17" t="s">
        <v>15</v>
      </c>
      <c r="G15" s="17" t="s">
        <v>16</v>
      </c>
      <c r="H15" s="17"/>
      <c r="I15" s="19" t="s">
        <v>2698</v>
      </c>
    </row>
    <row r="16" spans="1:9" ht="18" customHeight="1" x14ac:dyDescent="0.25">
      <c r="A16" s="25" t="s">
        <v>2699</v>
      </c>
      <c r="B16" s="26"/>
      <c r="C16" s="26"/>
      <c r="D16" s="26"/>
      <c r="E16" s="26"/>
      <c r="F16" s="26"/>
      <c r="G16" s="26"/>
      <c r="H16" s="26"/>
      <c r="I16" s="26"/>
    </row>
    <row r="17" spans="1:9" ht="41.85" customHeight="1" x14ac:dyDescent="0.25">
      <c r="A17" s="15" t="s">
        <v>777</v>
      </c>
      <c r="B17" s="16" t="s">
        <v>2700</v>
      </c>
      <c r="C17" s="16" t="s">
        <v>2701</v>
      </c>
      <c r="D17" s="16" t="s">
        <v>2702</v>
      </c>
      <c r="E17" s="16" t="s">
        <v>2703</v>
      </c>
      <c r="F17" s="17" t="s">
        <v>15</v>
      </c>
      <c r="G17" s="17" t="s">
        <v>16</v>
      </c>
      <c r="H17" s="17"/>
      <c r="I17" s="16" t="s">
        <v>2704</v>
      </c>
    </row>
    <row r="18" spans="1:9" ht="18" customHeight="1" x14ac:dyDescent="0.25">
      <c r="A18" s="25" t="s">
        <v>2705</v>
      </c>
      <c r="B18" s="26"/>
      <c r="C18" s="26"/>
      <c r="D18" s="26"/>
      <c r="E18" s="26"/>
      <c r="F18" s="26"/>
      <c r="G18" s="26"/>
      <c r="H18" s="26"/>
      <c r="I18" s="26"/>
    </row>
    <row r="19" spans="1:9" ht="54.4" customHeight="1" x14ac:dyDescent="0.25">
      <c r="A19" s="15" t="s">
        <v>2706</v>
      </c>
      <c r="B19" s="16" t="s">
        <v>2707</v>
      </c>
      <c r="C19" s="16" t="s">
        <v>2708</v>
      </c>
      <c r="D19" s="16" t="s">
        <v>2709</v>
      </c>
      <c r="E19" s="16" t="s">
        <v>2710</v>
      </c>
      <c r="F19" s="17" t="s">
        <v>15</v>
      </c>
      <c r="G19" s="17" t="s">
        <v>16</v>
      </c>
      <c r="H19" s="17"/>
      <c r="I19" s="16" t="s">
        <v>2711</v>
      </c>
    </row>
    <row r="20" spans="1:9" ht="54.4" customHeight="1" x14ac:dyDescent="0.25">
      <c r="A20" s="18" t="s">
        <v>2712</v>
      </c>
      <c r="B20" s="19" t="s">
        <v>2713</v>
      </c>
      <c r="C20" s="19" t="s">
        <v>2714</v>
      </c>
      <c r="D20" s="19" t="s">
        <v>2715</v>
      </c>
      <c r="E20" s="19" t="s">
        <v>2716</v>
      </c>
      <c r="F20" s="17" t="s">
        <v>15</v>
      </c>
      <c r="G20" s="17" t="s">
        <v>16</v>
      </c>
      <c r="H20" s="17"/>
      <c r="I20" s="19" t="s">
        <v>2717</v>
      </c>
    </row>
    <row r="21" spans="1:9" ht="18" customHeight="1" x14ac:dyDescent="0.25">
      <c r="A21" s="25" t="s">
        <v>2718</v>
      </c>
      <c r="B21" s="26"/>
      <c r="C21" s="26"/>
      <c r="D21" s="26"/>
      <c r="E21" s="26"/>
      <c r="F21" s="26"/>
      <c r="G21" s="26"/>
      <c r="H21" s="26"/>
      <c r="I21" s="26"/>
    </row>
    <row r="22" spans="1:9" ht="54.4" customHeight="1" x14ac:dyDescent="0.25">
      <c r="A22" s="15" t="s">
        <v>785</v>
      </c>
      <c r="B22" s="16" t="s">
        <v>2719</v>
      </c>
      <c r="C22" s="16" t="s">
        <v>2720</v>
      </c>
      <c r="D22" s="16" t="s">
        <v>2721</v>
      </c>
      <c r="E22" s="16" t="s">
        <v>2722</v>
      </c>
      <c r="F22" s="17"/>
      <c r="G22" s="17"/>
      <c r="H22" s="17"/>
      <c r="I22" s="16" t="s">
        <v>2723</v>
      </c>
    </row>
    <row r="23" spans="1:9" ht="18" customHeight="1" x14ac:dyDescent="0.25">
      <c r="A23" s="25" t="s">
        <v>2724</v>
      </c>
      <c r="B23" s="26"/>
      <c r="C23" s="26"/>
      <c r="D23" s="26"/>
      <c r="E23" s="26"/>
      <c r="F23" s="26"/>
      <c r="G23" s="26"/>
      <c r="H23" s="26"/>
      <c r="I23" s="26"/>
    </row>
    <row r="24" spans="1:9" ht="41.85" customHeight="1" x14ac:dyDescent="0.25">
      <c r="A24" s="15" t="s">
        <v>789</v>
      </c>
      <c r="B24" s="16" t="s">
        <v>2725</v>
      </c>
      <c r="C24" s="16" t="s">
        <v>2726</v>
      </c>
      <c r="D24" s="16" t="s">
        <v>2727</v>
      </c>
      <c r="E24" s="16" t="s">
        <v>2728</v>
      </c>
      <c r="F24" s="17"/>
      <c r="G24" s="17"/>
      <c r="H24" s="17"/>
      <c r="I24" s="16" t="s">
        <v>2729</v>
      </c>
    </row>
    <row r="25" spans="1:9" ht="18" customHeight="1" x14ac:dyDescent="0.25">
      <c r="A25" s="25" t="s">
        <v>2730</v>
      </c>
      <c r="B25" s="26"/>
      <c r="C25" s="26"/>
      <c r="D25" s="26"/>
      <c r="E25" s="26"/>
      <c r="F25" s="26"/>
      <c r="G25" s="26"/>
      <c r="H25" s="26"/>
      <c r="I25" s="26"/>
    </row>
    <row r="26" spans="1:9" ht="54.4" customHeight="1" x14ac:dyDescent="0.25">
      <c r="A26" s="15" t="s">
        <v>2731</v>
      </c>
      <c r="B26" s="16" t="s">
        <v>2732</v>
      </c>
      <c r="C26" s="16" t="s">
        <v>2733</v>
      </c>
      <c r="D26" s="16" t="s">
        <v>2734</v>
      </c>
      <c r="E26" s="16" t="s">
        <v>2735</v>
      </c>
      <c r="F26" s="17" t="s">
        <v>15</v>
      </c>
      <c r="G26" s="17" t="s">
        <v>16</v>
      </c>
      <c r="H26" s="17"/>
      <c r="I26" s="16" t="s">
        <v>2736</v>
      </c>
    </row>
    <row r="27" spans="1:9" ht="66.95" customHeight="1" x14ac:dyDescent="0.25">
      <c r="A27" s="18" t="s">
        <v>2737</v>
      </c>
      <c r="B27" s="19" t="s">
        <v>2738</v>
      </c>
      <c r="C27" s="19" t="s">
        <v>2739</v>
      </c>
      <c r="D27" s="19" t="s">
        <v>2740</v>
      </c>
      <c r="E27" s="19" t="s">
        <v>2741</v>
      </c>
      <c r="F27" s="17" t="s">
        <v>15</v>
      </c>
      <c r="G27" s="17" t="s">
        <v>16</v>
      </c>
      <c r="H27" s="17" t="s">
        <v>123</v>
      </c>
      <c r="I27" s="19" t="s">
        <v>2742</v>
      </c>
    </row>
    <row r="28" spans="1:9" ht="18" customHeight="1" x14ac:dyDescent="0.25">
      <c r="A28" s="25" t="s">
        <v>2743</v>
      </c>
      <c r="B28" s="26"/>
      <c r="C28" s="26"/>
      <c r="D28" s="26"/>
      <c r="E28" s="26"/>
      <c r="F28" s="26"/>
      <c r="G28" s="26"/>
      <c r="H28" s="26"/>
      <c r="I28" s="26"/>
    </row>
    <row r="29" spans="1:9" ht="54.4" customHeight="1" x14ac:dyDescent="0.25">
      <c r="A29" s="15" t="s">
        <v>1053</v>
      </c>
      <c r="B29" s="16" t="s">
        <v>2744</v>
      </c>
      <c r="C29" s="16" t="s">
        <v>2745</v>
      </c>
      <c r="D29" s="16" t="s">
        <v>2746</v>
      </c>
      <c r="E29" s="16" t="s">
        <v>2747</v>
      </c>
      <c r="F29" s="17"/>
      <c r="G29" s="17"/>
      <c r="H29" s="17"/>
      <c r="I29" s="16" t="s">
        <v>2748</v>
      </c>
    </row>
    <row r="30" spans="1:9" ht="18" customHeight="1" x14ac:dyDescent="0.25">
      <c r="A30" s="25" t="s">
        <v>2749</v>
      </c>
      <c r="B30" s="26"/>
      <c r="C30" s="26"/>
      <c r="D30" s="26"/>
      <c r="E30" s="26"/>
      <c r="F30" s="26"/>
      <c r="G30" s="26"/>
      <c r="H30" s="26"/>
      <c r="I30" s="26"/>
    </row>
    <row r="31" spans="1:9" ht="66.95" customHeight="1" x14ac:dyDescent="0.25">
      <c r="A31" s="15" t="s">
        <v>1056</v>
      </c>
      <c r="B31" s="16" t="s">
        <v>2750</v>
      </c>
      <c r="C31" s="16" t="s">
        <v>2751</v>
      </c>
      <c r="D31" s="16" t="s">
        <v>2752</v>
      </c>
      <c r="E31" s="16" t="s">
        <v>2753</v>
      </c>
      <c r="F31" s="17"/>
      <c r="G31" s="17"/>
      <c r="H31" s="17"/>
      <c r="I31" s="16" t="s">
        <v>2754</v>
      </c>
    </row>
    <row r="32" spans="1:9" ht="18" customHeight="1" x14ac:dyDescent="0.25">
      <c r="A32" s="25" t="s">
        <v>2755</v>
      </c>
      <c r="B32" s="26"/>
      <c r="C32" s="26"/>
      <c r="D32" s="26"/>
      <c r="E32" s="26"/>
      <c r="F32" s="26"/>
      <c r="G32" s="26"/>
      <c r="H32" s="26"/>
      <c r="I32" s="26"/>
    </row>
    <row r="33" spans="1:9" ht="66.95" customHeight="1" x14ac:dyDescent="0.25">
      <c r="A33" s="15" t="s">
        <v>1059</v>
      </c>
      <c r="B33" s="16" t="s">
        <v>2756</v>
      </c>
      <c r="C33" s="16" t="s">
        <v>2757</v>
      </c>
      <c r="D33" s="16" t="s">
        <v>2758</v>
      </c>
      <c r="E33" s="16" t="s">
        <v>2759</v>
      </c>
      <c r="F33" s="17" t="s">
        <v>15</v>
      </c>
      <c r="G33" s="17" t="s">
        <v>16</v>
      </c>
      <c r="H33" s="17"/>
      <c r="I33" s="16" t="s">
        <v>2760</v>
      </c>
    </row>
  </sheetData>
  <mergeCells count="14">
    <mergeCell ref="A32:I32"/>
    <mergeCell ref="A13:I13"/>
    <mergeCell ref="A23:I23"/>
    <mergeCell ref="A18:I18"/>
    <mergeCell ref="A9:I9"/>
    <mergeCell ref="A30:I30"/>
    <mergeCell ref="A21:I21"/>
    <mergeCell ref="A16:I16"/>
    <mergeCell ref="A7:I7"/>
    <mergeCell ref="A25:I25"/>
    <mergeCell ref="A2:I2"/>
    <mergeCell ref="A11:I11"/>
    <mergeCell ref="A28:I28"/>
    <mergeCell ref="A5:I5"/>
  </mergeCells>
  <dataValidations count="1">
    <dataValidation type="list" allowBlank="1" sqref="F3:F4 F6 F8 F10 F12 F14:F15 F17 F19:F20 F22 F24 F26:F27 F29 F31 F33" xr:uid="{00000000-0002-0000-1600-000000000000}">
      <formula1>"Pass,Fail,N/A"</formula1>
    </dataValidation>
  </dataValidations>
  <pageMargins left="0.7" right="0.7" top="0.75" bottom="0.75" header="0.3" footer="0.3"/>
  <pageSetup orientation="portrait" horizontalDpi="4294967295" verticalDpi="429496729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6"/>
  <sheetViews>
    <sheetView workbookViewId="0">
      <pane ySplit="1" topLeftCell="A2" activePane="bottomLeft" state="frozen"/>
      <selection pane="bottomLeft"/>
    </sheetView>
  </sheetViews>
  <sheetFormatPr defaultRowHeight="15" x14ac:dyDescent="0.25"/>
  <cols>
    <col min="1" max="1" width="14" customWidth="1"/>
    <col min="2" max="2" width="22" customWidth="1"/>
    <col min="3" max="3" width="30" customWidth="1"/>
    <col min="4" max="5" width="44" customWidth="1"/>
    <col min="7" max="7" width="10" customWidth="1"/>
    <col min="8" max="8" width="12" customWidth="1"/>
    <col min="9" max="9" width="34" customWidth="1"/>
  </cols>
  <sheetData>
    <row r="1" spans="1:9" ht="20.100000000000001" customHeight="1" x14ac:dyDescent="0.25">
      <c r="A1" s="20" t="s">
        <v>0</v>
      </c>
      <c r="B1" s="20" t="s">
        <v>1</v>
      </c>
      <c r="C1" s="20" t="s">
        <v>2</v>
      </c>
      <c r="D1" s="20" t="s">
        <v>3</v>
      </c>
      <c r="E1" s="20" t="s">
        <v>4</v>
      </c>
      <c r="F1" s="21" t="s">
        <v>5</v>
      </c>
      <c r="G1" s="21" t="s">
        <v>6</v>
      </c>
      <c r="H1" s="21" t="s">
        <v>7</v>
      </c>
      <c r="I1" s="20" t="s">
        <v>8</v>
      </c>
    </row>
    <row r="2" spans="1:9" ht="18" customHeight="1" x14ac:dyDescent="0.25">
      <c r="A2" s="25" t="s">
        <v>2761</v>
      </c>
      <c r="B2" s="26"/>
      <c r="C2" s="26"/>
      <c r="D2" s="26"/>
      <c r="E2" s="26"/>
      <c r="F2" s="26"/>
      <c r="G2" s="26"/>
      <c r="H2" s="26"/>
      <c r="I2" s="26"/>
    </row>
    <row r="3" spans="1:9" ht="54.4" customHeight="1" x14ac:dyDescent="0.25">
      <c r="A3" s="15" t="s">
        <v>2762</v>
      </c>
      <c r="B3" s="16" t="s">
        <v>2763</v>
      </c>
      <c r="C3" s="16" t="s">
        <v>2764</v>
      </c>
      <c r="D3" s="16" t="s">
        <v>2765</v>
      </c>
      <c r="E3" s="16" t="s">
        <v>2766</v>
      </c>
      <c r="F3" s="17"/>
      <c r="G3" s="17"/>
      <c r="H3" s="17"/>
      <c r="I3" s="16" t="s">
        <v>2767</v>
      </c>
    </row>
    <row r="4" spans="1:9" ht="54.4" customHeight="1" x14ac:dyDescent="0.25">
      <c r="A4" s="18" t="s">
        <v>2768</v>
      </c>
      <c r="B4" s="19" t="s">
        <v>2769</v>
      </c>
      <c r="C4" s="19" t="s">
        <v>2770</v>
      </c>
      <c r="D4" s="19" t="s">
        <v>2771</v>
      </c>
      <c r="E4" s="19" t="s">
        <v>2772</v>
      </c>
      <c r="F4" s="17" t="s">
        <v>15</v>
      </c>
      <c r="G4" s="17" t="s">
        <v>16</v>
      </c>
      <c r="H4" s="17"/>
      <c r="I4" s="19" t="s">
        <v>2773</v>
      </c>
    </row>
    <row r="5" spans="1:9" ht="18" customHeight="1" x14ac:dyDescent="0.25">
      <c r="A5" s="25" t="s">
        <v>2774</v>
      </c>
      <c r="B5" s="26"/>
      <c r="C5" s="26"/>
      <c r="D5" s="26"/>
      <c r="E5" s="26"/>
      <c r="F5" s="26"/>
      <c r="G5" s="26"/>
      <c r="H5" s="26"/>
      <c r="I5" s="26"/>
    </row>
    <row r="6" spans="1:9" ht="41.85" customHeight="1" x14ac:dyDescent="0.25">
      <c r="A6" s="15" t="s">
        <v>2775</v>
      </c>
      <c r="B6" s="16" t="s">
        <v>2776</v>
      </c>
      <c r="C6" s="16" t="s">
        <v>2777</v>
      </c>
      <c r="D6" s="16" t="s">
        <v>2778</v>
      </c>
      <c r="E6" s="16" t="s">
        <v>2779</v>
      </c>
      <c r="F6" s="17" t="s">
        <v>15</v>
      </c>
      <c r="G6" s="17" t="s">
        <v>16</v>
      </c>
      <c r="H6" s="17"/>
      <c r="I6" s="16" t="s">
        <v>2780</v>
      </c>
    </row>
    <row r="7" spans="1:9" ht="54.4" customHeight="1" x14ac:dyDescent="0.25">
      <c r="A7" s="18" t="s">
        <v>2781</v>
      </c>
      <c r="B7" s="19" t="s">
        <v>2782</v>
      </c>
      <c r="C7" s="19" t="s">
        <v>2783</v>
      </c>
      <c r="D7" s="19" t="s">
        <v>2784</v>
      </c>
      <c r="E7" s="19" t="s">
        <v>2785</v>
      </c>
      <c r="F7" s="17" t="s">
        <v>15</v>
      </c>
      <c r="G7" s="17" t="s">
        <v>16</v>
      </c>
      <c r="H7" s="17"/>
      <c r="I7" s="19" t="s">
        <v>2786</v>
      </c>
    </row>
    <row r="8" spans="1:9" ht="18" customHeight="1" x14ac:dyDescent="0.25">
      <c r="A8" s="25" t="s">
        <v>2787</v>
      </c>
      <c r="B8" s="26"/>
      <c r="C8" s="26"/>
      <c r="D8" s="26"/>
      <c r="E8" s="26"/>
      <c r="F8" s="26"/>
      <c r="G8" s="26"/>
      <c r="H8" s="26"/>
      <c r="I8" s="26"/>
    </row>
    <row r="9" spans="1:9" ht="41.85" customHeight="1" x14ac:dyDescent="0.25">
      <c r="A9" s="15" t="s">
        <v>982</v>
      </c>
      <c r="B9" s="16" t="s">
        <v>2788</v>
      </c>
      <c r="C9" s="16" t="s">
        <v>2789</v>
      </c>
      <c r="D9" s="16" t="s">
        <v>2790</v>
      </c>
      <c r="E9" s="16" t="s">
        <v>2791</v>
      </c>
      <c r="F9" s="17" t="s">
        <v>15</v>
      </c>
      <c r="G9" s="17" t="s">
        <v>16</v>
      </c>
      <c r="H9" s="17"/>
      <c r="I9" s="16" t="s">
        <v>2792</v>
      </c>
    </row>
    <row r="10" spans="1:9" ht="18" customHeight="1" x14ac:dyDescent="0.25">
      <c r="A10" s="25" t="s">
        <v>2793</v>
      </c>
      <c r="B10" s="26"/>
      <c r="C10" s="26"/>
      <c r="D10" s="26"/>
      <c r="E10" s="26"/>
      <c r="F10" s="26"/>
      <c r="G10" s="26"/>
      <c r="H10" s="26"/>
      <c r="I10" s="26"/>
    </row>
    <row r="11" spans="1:9" ht="54.4" customHeight="1" x14ac:dyDescent="0.25">
      <c r="A11" s="15" t="s">
        <v>2794</v>
      </c>
      <c r="B11" s="16" t="s">
        <v>2795</v>
      </c>
      <c r="C11" s="16" t="s">
        <v>2796</v>
      </c>
      <c r="D11" s="16" t="s">
        <v>2797</v>
      </c>
      <c r="E11" s="16" t="s">
        <v>2798</v>
      </c>
      <c r="F11" s="17" t="s">
        <v>15</v>
      </c>
      <c r="G11" s="17" t="s">
        <v>16</v>
      </c>
      <c r="H11" s="17"/>
      <c r="I11" s="16" t="s">
        <v>2799</v>
      </c>
    </row>
    <row r="12" spans="1:9" ht="54.4" customHeight="1" x14ac:dyDescent="0.25">
      <c r="A12" s="18" t="s">
        <v>2800</v>
      </c>
      <c r="B12" s="19" t="s">
        <v>2801</v>
      </c>
      <c r="C12" s="19" t="s">
        <v>2802</v>
      </c>
      <c r="D12" s="19" t="s">
        <v>2803</v>
      </c>
      <c r="E12" s="19" t="s">
        <v>2804</v>
      </c>
      <c r="F12" s="17" t="s">
        <v>15</v>
      </c>
      <c r="G12" s="17" t="s">
        <v>16</v>
      </c>
      <c r="H12" s="17"/>
      <c r="I12" s="19" t="s">
        <v>2805</v>
      </c>
    </row>
    <row r="13" spans="1:9" ht="18" customHeight="1" x14ac:dyDescent="0.25">
      <c r="A13" s="25" t="s">
        <v>2806</v>
      </c>
      <c r="B13" s="26"/>
      <c r="C13" s="26"/>
      <c r="D13" s="26"/>
      <c r="E13" s="26"/>
      <c r="F13" s="26"/>
      <c r="G13" s="26"/>
      <c r="H13" s="26"/>
      <c r="I13" s="26"/>
    </row>
    <row r="14" spans="1:9" ht="41.85" customHeight="1" x14ac:dyDescent="0.25">
      <c r="A14" s="15" t="s">
        <v>988</v>
      </c>
      <c r="B14" s="16" t="s">
        <v>2807</v>
      </c>
      <c r="C14" s="16" t="s">
        <v>2808</v>
      </c>
      <c r="D14" s="16" t="s">
        <v>2809</v>
      </c>
      <c r="E14" s="16" t="s">
        <v>2810</v>
      </c>
      <c r="F14" s="17"/>
      <c r="G14" s="17"/>
      <c r="H14" s="17"/>
      <c r="I14" s="16" t="s">
        <v>2811</v>
      </c>
    </row>
    <row r="15" spans="1:9" ht="18" customHeight="1" x14ac:dyDescent="0.25">
      <c r="A15" s="25" t="s">
        <v>2812</v>
      </c>
      <c r="B15" s="26"/>
      <c r="C15" s="26"/>
      <c r="D15" s="26"/>
      <c r="E15" s="26"/>
      <c r="F15" s="26"/>
      <c r="G15" s="26"/>
      <c r="H15" s="26"/>
      <c r="I15" s="26"/>
    </row>
    <row r="16" spans="1:9" ht="54.4" customHeight="1" x14ac:dyDescent="0.25">
      <c r="A16" s="15" t="s">
        <v>992</v>
      </c>
      <c r="B16" s="16" t="s">
        <v>2813</v>
      </c>
      <c r="C16" s="16" t="s">
        <v>2814</v>
      </c>
      <c r="D16" s="16" t="s">
        <v>2815</v>
      </c>
      <c r="E16" s="16" t="s">
        <v>2816</v>
      </c>
      <c r="F16" s="17" t="s">
        <v>15</v>
      </c>
      <c r="G16" s="17" t="s">
        <v>16</v>
      </c>
      <c r="H16" s="17"/>
      <c r="I16" s="16" t="s">
        <v>2817</v>
      </c>
    </row>
    <row r="17" spans="1:9" ht="18" customHeight="1" x14ac:dyDescent="0.25">
      <c r="A17" s="25" t="s">
        <v>2818</v>
      </c>
      <c r="B17" s="26"/>
      <c r="C17" s="26"/>
      <c r="D17" s="26"/>
      <c r="E17" s="26"/>
      <c r="F17" s="26"/>
      <c r="G17" s="26"/>
      <c r="H17" s="26"/>
      <c r="I17" s="26"/>
    </row>
    <row r="18" spans="1:9" ht="41.85" customHeight="1" x14ac:dyDescent="0.25">
      <c r="A18" s="15" t="s">
        <v>995</v>
      </c>
      <c r="B18" s="16" t="s">
        <v>2819</v>
      </c>
      <c r="C18" s="16" t="s">
        <v>2783</v>
      </c>
      <c r="D18" s="16" t="s">
        <v>2820</v>
      </c>
      <c r="E18" s="16" t="s">
        <v>2821</v>
      </c>
      <c r="F18" s="17" t="s">
        <v>15</v>
      </c>
      <c r="G18" s="17" t="s">
        <v>16</v>
      </c>
      <c r="H18" s="17"/>
      <c r="I18" s="16" t="s">
        <v>2822</v>
      </c>
    </row>
    <row r="19" spans="1:9" ht="18" customHeight="1" x14ac:dyDescent="0.25">
      <c r="A19" s="25" t="s">
        <v>2823</v>
      </c>
      <c r="B19" s="26"/>
      <c r="C19" s="26"/>
      <c r="D19" s="26"/>
      <c r="E19" s="26"/>
      <c r="F19" s="26"/>
      <c r="G19" s="26"/>
      <c r="H19" s="26"/>
      <c r="I19" s="26"/>
    </row>
    <row r="20" spans="1:9" ht="54.4" customHeight="1" x14ac:dyDescent="0.25">
      <c r="A20" s="15" t="s">
        <v>1001</v>
      </c>
      <c r="B20" s="16" t="s">
        <v>2824</v>
      </c>
      <c r="C20" s="16" t="s">
        <v>2825</v>
      </c>
      <c r="D20" s="16" t="s">
        <v>2826</v>
      </c>
      <c r="E20" s="16" t="s">
        <v>2827</v>
      </c>
      <c r="F20" s="17" t="s">
        <v>15</v>
      </c>
      <c r="G20" s="17" t="s">
        <v>16</v>
      </c>
      <c r="H20" s="17"/>
      <c r="I20" s="16" t="s">
        <v>2828</v>
      </c>
    </row>
    <row r="21" spans="1:9" ht="18" customHeight="1" x14ac:dyDescent="0.25">
      <c r="A21" s="25" t="s">
        <v>2829</v>
      </c>
      <c r="B21" s="26"/>
      <c r="C21" s="26"/>
      <c r="D21" s="26"/>
      <c r="E21" s="26"/>
      <c r="F21" s="26"/>
      <c r="G21" s="26"/>
      <c r="H21" s="26"/>
      <c r="I21" s="26"/>
    </row>
    <row r="22" spans="1:9" ht="54.4" customHeight="1" x14ac:dyDescent="0.25">
      <c r="A22" s="15" t="s">
        <v>1005</v>
      </c>
      <c r="B22" s="16" t="s">
        <v>2830</v>
      </c>
      <c r="C22" s="16" t="s">
        <v>2831</v>
      </c>
      <c r="D22" s="16" t="s">
        <v>2832</v>
      </c>
      <c r="E22" s="16" t="s">
        <v>2833</v>
      </c>
      <c r="F22" s="17" t="s">
        <v>15</v>
      </c>
      <c r="G22" s="17" t="s">
        <v>16</v>
      </c>
      <c r="H22" s="17"/>
      <c r="I22" s="16" t="s">
        <v>2834</v>
      </c>
    </row>
    <row r="23" spans="1:9" ht="18" customHeight="1" x14ac:dyDescent="0.25">
      <c r="A23" s="25" t="s">
        <v>2835</v>
      </c>
      <c r="B23" s="26"/>
      <c r="C23" s="26"/>
      <c r="D23" s="26"/>
      <c r="E23" s="26"/>
      <c r="F23" s="26"/>
      <c r="G23" s="26"/>
      <c r="H23" s="26"/>
      <c r="I23" s="26"/>
    </row>
    <row r="24" spans="1:9" ht="66.95" customHeight="1" x14ac:dyDescent="0.25">
      <c r="A24" s="15" t="s">
        <v>1008</v>
      </c>
      <c r="B24" s="16" t="s">
        <v>2836</v>
      </c>
      <c r="C24" s="16" t="s">
        <v>2837</v>
      </c>
      <c r="D24" s="16" t="s">
        <v>2838</v>
      </c>
      <c r="E24" s="16" t="s">
        <v>2839</v>
      </c>
      <c r="F24" s="17" t="s">
        <v>15</v>
      </c>
      <c r="G24" s="17" t="s">
        <v>16</v>
      </c>
      <c r="H24" s="17"/>
      <c r="I24" s="16" t="s">
        <v>2840</v>
      </c>
    </row>
    <row r="25" spans="1:9" ht="18" customHeight="1" x14ac:dyDescent="0.25"/>
    <row r="26" spans="1:9" ht="41.85" customHeight="1" x14ac:dyDescent="0.25"/>
  </sheetData>
  <mergeCells count="10">
    <mergeCell ref="A23:I23"/>
    <mergeCell ref="A17:I17"/>
    <mergeCell ref="A8:I8"/>
    <mergeCell ref="A21:I21"/>
    <mergeCell ref="A15:I15"/>
    <mergeCell ref="A2:I2"/>
    <mergeCell ref="A19:I19"/>
    <mergeCell ref="A10:I10"/>
    <mergeCell ref="A5:I5"/>
    <mergeCell ref="A13:I13"/>
  </mergeCells>
  <dataValidations count="1">
    <dataValidation type="list" allowBlank="1" sqref="F3:F4 F6:F7 F9 F11:F12 F14 F16 F18 F20 F22 F24 F26" xr:uid="{00000000-0002-0000-1700-000000000000}">
      <formula1>"Pass,Fail,N/A"</formula1>
    </dataValidation>
  </dataValidation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Coverage</vt:lpstr>
      <vt:lpstr>Environment &amp; Platform</vt:lpstr>
      <vt:lpstr>Plant Hierarchy</vt:lpstr>
      <vt:lpstr>Item Master</vt:lpstr>
      <vt:lpstr>Routes &amp; BOMs</vt:lpstr>
      <vt:lpstr>Op Templates &amp; Quality Specs</vt:lpstr>
      <vt:lpstr>Container Configs</vt:lpstr>
      <vt:lpstr>Code Tables</vt:lpstr>
      <vt:lpstr>Shift Schedules</vt:lpstr>
      <vt:lpstr>PLC Device Mapping</vt:lpstr>
      <vt:lpstr>Users &amp; Attribution</vt:lpstr>
      <vt:lpstr>Terminal &amp; Login</vt:lpstr>
      <vt:lpstr>Die Cast</vt:lpstr>
      <vt:lpstr>Trim</vt:lpstr>
      <vt:lpstr>Machining</vt:lpstr>
      <vt:lpstr>Assembly</vt:lpstr>
      <vt:lpstr>Third-Party Inspection</vt:lpstr>
      <vt:lpstr>Quality Capture &amp; Holds</vt:lpstr>
      <vt:lpstr>Movements &amp; Inventory</vt:lpstr>
      <vt:lpstr>LOT Traceability &amp; Genealogy</vt:lpstr>
      <vt:lpstr>Shift &amp; Downtime</vt:lpstr>
      <vt:lpstr>Labels &amp; Printing</vt:lpstr>
      <vt:lpstr>Audit Browser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Jacques Potgieter</cp:lastModifiedBy>
  <dcterms:created xsi:type="dcterms:W3CDTF">1970-01-01T00:00:00Z</dcterms:created>
  <dcterms:modified xsi:type="dcterms:W3CDTF">2026-08-13T19:53:20Z</dcterms:modified>
</cp:coreProperties>
</file>