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4" name="Cover" state="visible" r:id="rId4"/>
    <sheet sheetId="1" name="Coverage" state="visible" r:id="rId5"/>
    <sheet sheetId="2" name="Environment &amp; Platform" state="visible" r:id="rId6"/>
    <sheet sheetId="3" name="Plant Hierarchy" state="visible" r:id="rId7"/>
    <sheet sheetId="4" name="Item Master" state="visible" r:id="rId8"/>
    <sheet sheetId="5" name="Routes &amp; BOMs" state="visible" r:id="rId9"/>
    <sheet sheetId="6" name="Op Templates &amp; Quality Specs" state="visible" r:id="rId10"/>
    <sheet sheetId="7" name="Container Configs" state="visible" r:id="rId11"/>
    <sheet sheetId="8" name="Code Tables" state="visible" r:id="rId12"/>
    <sheet sheetId="9" name="Shift Schedules" state="visible" r:id="rId13"/>
    <sheet sheetId="10" name="PLC Device Mapping" state="visible" r:id="rId14"/>
    <sheet sheetId="11" name="Users &amp; Attribution" state="visible" r:id="rId15"/>
    <sheet sheetId="12" name="Terminal &amp; Login" state="visible" r:id="rId16"/>
    <sheet sheetId="13" name="Die Cast" state="visible" r:id="rId17"/>
    <sheet sheetId="14" name="Trim" state="visible" r:id="rId18"/>
    <sheet sheetId="15" name="Machining" state="visible" r:id="rId19"/>
    <sheet sheetId="16" name="Assembly" state="visible" r:id="rId20"/>
    <sheet sheetId="17" name="Third-Party Inspection" state="visible" r:id="rId21"/>
    <sheet sheetId="18" name="Quality Capture &amp; Holds" state="visible" r:id="rId22"/>
    <sheet sheetId="19" name="Movements &amp; Inventory" state="visible" r:id="rId23"/>
    <sheet sheetId="20" name="LOT Traceability &amp; Genealogy" state="visible" r:id="rId24"/>
    <sheet sheetId="21" name="Shift &amp; Downtime" state="visible" r:id="rId25"/>
    <sheet sheetId="22" name="Labels &amp; Printing" state="visible" r:id="rId26"/>
    <sheet sheetId="23" name="Audit Browser" state="visible" r:id="rId27"/>
  </sheets>
  <calcPr calcId="171027"/>
</workbook>
</file>

<file path=xl/sharedStrings.xml><?xml version="1.0" encoding="utf-8"?>
<sst xmlns="http://schemas.openxmlformats.org/spreadsheetml/2006/main" count="5764" uniqueCount="2865">
  <si>
    <t>MPP MES — Factory Acceptance Test (FAT)</t>
  </si>
  <si>
    <t>Madison Precision Products, Inc.  ·  Blue Ridge Automation</t>
  </si>
  <si>
    <t>Measured against</t>
  </si>
  <si>
    <t>MPP MES Functional Design Specification (FDS) — FRS crosswalk shown per requirement</t>
  </si>
  <si>
    <t>Scope</t>
  </si>
  <si>
    <t>Full MVP / MVP-EXPANDED — Config Tool (Arc 1) + Plant Floor (Arc 2)</t>
  </si>
  <si>
    <t>FDS requirements</t>
  </si>
  <si>
    <t>226 in-scope  ·  9 conditional  ·  7 out-of-scope  (see Coverage sheet)</t>
  </si>
  <si>
    <t>Total test steps</t>
  </si>
  <si>
    <t>367</t>
  </si>
  <si>
    <t>In-scope requirements with no test</t>
  </si>
  <si>
    <t>0</t>
  </si>
  <si>
    <t>ENVIRONMENT UNDER TEST   (fill in at witnessing)</t>
  </si>
  <si>
    <t>Ignition Gateway version</t>
  </si>
  <si>
    <t/>
  </si>
  <si>
    <t>SQL Server / database</t>
  </si>
  <si>
    <t>Git commit / build tag</t>
  </si>
  <si>
    <t>Test date(s)</t>
  </si>
  <si>
    <t>SIGN-OFF</t>
  </si>
  <si>
    <t>Role</t>
  </si>
  <si>
    <t>Name</t>
  </si>
  <si>
    <t>Signature</t>
  </si>
  <si>
    <t>Date</t>
  </si>
  <si>
    <t>MPP — Acceptance</t>
  </si>
  <si>
    <t>MPP — Quality</t>
  </si>
  <si>
    <t>Blue Ridge — Lead</t>
  </si>
  <si>
    <t>ROLL-UP  (live — updates as Result cells are filled)</t>
  </si>
  <si>
    <t>Area</t>
  </si>
  <si>
    <t>Total</t>
  </si>
  <si>
    <t>Pass</t>
  </si>
  <si>
    <t>Fail</t>
  </si>
  <si>
    <t>N/A</t>
  </si>
  <si>
    <t>Open</t>
  </si>
  <si>
    <t>Environment &amp; Platform</t>
  </si>
  <si>
    <t>Plant Hierarchy</t>
  </si>
  <si>
    <t>Item Master</t>
  </si>
  <si>
    <t>Routes &amp; BOMs</t>
  </si>
  <si>
    <t>Op Templates &amp; Quality Specs</t>
  </si>
  <si>
    <t>Container Configs</t>
  </si>
  <si>
    <t>Code Tables</t>
  </si>
  <si>
    <t>Shift Schedules</t>
  </si>
  <si>
    <t>PLC Device Mapping</t>
  </si>
  <si>
    <t>Users &amp; Attribution</t>
  </si>
  <si>
    <t>Terminal &amp; Login</t>
  </si>
  <si>
    <t>Die Cast</t>
  </si>
  <si>
    <t>Trim</t>
  </si>
  <si>
    <t>Machining</t>
  </si>
  <si>
    <t>Assembly</t>
  </si>
  <si>
    <t>Third-Party Inspection</t>
  </si>
  <si>
    <t>Quality Capture &amp; Holds</t>
  </si>
  <si>
    <t>Movements &amp; Inventory</t>
  </si>
  <si>
    <t>LOT Traceability &amp; Genealogy</t>
  </si>
  <si>
    <t>Shift &amp; Downtime</t>
  </si>
  <si>
    <t>Labels &amp; Printing</t>
  </si>
  <si>
    <t>Audit Browser</t>
  </si>
  <si>
    <t>FDS</t>
  </si>
  <si>
    <t>Title</t>
  </si>
  <si>
    <t>Section</t>
  </si>
  <si>
    <t>FRS crosswalk</t>
  </si>
  <si>
    <t>Covering TestIDs</t>
  </si>
  <si>
    <t>Coverage</t>
  </si>
  <si>
    <t>FDS-01-001</t>
  </si>
  <si>
    <t>Ignition Gateway</t>
  </si>
  <si>
    <t>1.2 System Topology</t>
  </si>
  <si>
    <t>MVP</t>
  </si>
  <si>
    <t>FAT-ENV-010, FAT-ENV-020</t>
  </si>
  <si>
    <t>Covered (2)</t>
  </si>
  <si>
    <t>FDS-01-002</t>
  </si>
  <si>
    <t>Database Server</t>
  </si>
  <si>
    <t>FAT-ENV-030</t>
  </si>
  <si>
    <t>Covered (1)</t>
  </si>
  <si>
    <t>FDS-01-003</t>
  </si>
  <si>
    <t>Redundancy</t>
  </si>
  <si>
    <t>FAT-ENV-040</t>
  </si>
  <si>
    <t>FDS-01-004</t>
  </si>
  <si>
    <t>Development/Test Environment</t>
  </si>
  <si>
    <t>FAT-ENV-050</t>
  </si>
  <si>
    <t>FDS-01-005</t>
  </si>
  <si>
    <t>Event Immutability</t>
  </si>
  <si>
    <t>1.4 Data Flow Architecture</t>
  </si>
  <si>
    <t>3.5.4, 3.9.6</t>
  </si>
  <si>
    <t>FAT-ENV-060</t>
  </si>
  <si>
    <t>FDS-01-006</t>
  </si>
  <si>
    <t>External Interface Dispatch Pattern</t>
  </si>
  <si>
    <t>3.17.4, 5.5.1</t>
  </si>
  <si>
    <t>FAT-ENV-070</t>
  </si>
  <si>
    <t>FDS-01-007</t>
  </si>
  <si>
    <t>Tag Historian Separation</t>
  </si>
  <si>
    <t>3.4.10, 5.5.1</t>
  </si>
  <si>
    <t>FAT-ENV-080</t>
  </si>
  <si>
    <t>FDS-01-013</t>
  </si>
  <si>
    <t>BOM Source System at Cutover</t>
  </si>
  <si>
    <t>FAT-ENV-090, FAT-ENV-100</t>
  </si>
  <si>
    <t>FDS-01-008</t>
  </si>
  <si>
    <t>OPC Server Connections</t>
  </si>
  <si>
    <t>1.5 OPC Connection Architecture</t>
  </si>
  <si>
    <t>FAT-ENV-110</t>
  </si>
  <si>
    <t>FDS-01-009</t>
  </si>
  <si>
    <t>OPC Tag Namespace</t>
  </si>
  <si>
    <t>FAT-ENV-120</t>
  </si>
  <si>
    <t>FDS-01-010</t>
  </si>
  <si>
    <t>Authentication</t>
  </si>
  <si>
    <t>1.6 Security Architecture</t>
  </si>
  <si>
    <t>5.3</t>
  </si>
  <si>
    <t>FAT-ENV-130, FAT-ENV-140</t>
  </si>
  <si>
    <t>FDS-01-011</t>
  </si>
  <si>
    <t>Authorization</t>
  </si>
  <si>
    <t>FAT-ENV-150</t>
  </si>
  <si>
    <t>FDS-01-012</t>
  </si>
  <si>
    <t>Audit Attribution</t>
  </si>
  <si>
    <t>FAT-ENV-160</t>
  </si>
  <si>
    <t>FDS-01-014</t>
  </si>
  <si>
    <t>External Integration Pattern (Gateway-script-async)</t>
  </si>
  <si>
    <t>FAT-ENV-170, FAT-ENV-180</t>
  </si>
  <si>
    <t>FDS-02-001</t>
  </si>
  <si>
    <t>ISA-95 Location Types</t>
  </si>
  <si>
    <t>2.2 Location Type Hierarchy</t>
  </si>
  <si>
    <t>FAT-PH-010, FAT-PH-020</t>
  </si>
  <si>
    <t>FDS-02-002</t>
  </si>
  <si>
    <t>Hierarchy Enforcement</t>
  </si>
  <si>
    <t>FAT-PH-030, FAT-PH-040</t>
  </si>
  <si>
    <t>FDS-02-003</t>
  </si>
  <si>
    <t>Areas as Instances</t>
  </si>
  <si>
    <t>3.3.2, 3.7.1</t>
  </si>
  <si>
    <t>FAT-PH-050</t>
  </si>
  <si>
    <t>FDS-02-004</t>
  </si>
  <si>
    <t>Location Type Definitions (Kinds)</t>
  </si>
  <si>
    <t>2.3 Polymorphic Kinds and Configurable Attributes</t>
  </si>
  <si>
    <t>FAT-PH-060, FAT-PH-070</t>
  </si>
  <si>
    <t>FDS-02-005</t>
  </si>
  <si>
    <t>Attribute Schemas per Definition</t>
  </si>
  <si>
    <t>FAT-PH-080</t>
  </si>
  <si>
    <t>FDS-02-006</t>
  </si>
  <si>
    <t>Attribute Value Integrity</t>
  </si>
  <si>
    <t>FAT-PH-090</t>
  </si>
  <si>
    <t>FDS-02-007</t>
  </si>
  <si>
    <t>Machine Seed Data</t>
  </si>
  <si>
    <t>2.4 Seed Data</t>
  </si>
  <si>
    <t>FAT-PH-100</t>
  </si>
  <si>
    <t>FDS-02-008</t>
  </si>
  <si>
    <t>Terminal as Cell Kind</t>
  </si>
  <si>
    <t>2.5 Terminals</t>
  </si>
  <si>
    <t>FAT-TERM-010, FAT-TERM-020, FAT-TERM-030, FAT-TERM-040</t>
  </si>
  <si>
    <t>Covered (4)</t>
  </si>
  <si>
    <t>FDS-02-009</t>
  </si>
  <si>
    <t>Cell Context Selection</t>
  </si>
  <si>
    <t>FAT-TERM-060, FAT-TERM-070, FAT-TERM-080</t>
  </si>
  <si>
    <t>Covered (3)</t>
  </si>
  <si>
    <t>FDS-02-010</t>
  </si>
  <si>
    <t>Terminal Behavior Determined by Assigned View</t>
  </si>
  <si>
    <t>FAT-TERM-090, FAT-TERM-100</t>
  </si>
  <si>
    <t>FDS-02-011</t>
  </si>
  <si>
    <t>Cell Context Change Rules</t>
  </si>
  <si>
    <t>FAT-TERM-110, FAT-TERM-120</t>
  </si>
  <si>
    <t>FDS-02-012</t>
  </si>
  <si>
    <t>Part ↔ Cell Eligibility</t>
  </si>
  <si>
    <t>FAT-TERM-130, FAT-TERM-140, FAT-TERM-150</t>
  </si>
  <si>
    <t>FDS-02-013</t>
  </si>
  <si>
    <t>Mobile-Friendly Design Input</t>
  </si>
  <si>
    <t>FAT-TERM-160</t>
  </si>
  <si>
    <t>FDS-02-014</t>
  </si>
  <si>
    <t>Honda RFID Forward-Compatibility</t>
  </si>
  <si>
    <t>FUTURE</t>
  </si>
  <si>
    <t>Out-of-scope</t>
  </si>
  <si>
    <t>FDS-03-001</t>
  </si>
  <si>
    <t>Item Records</t>
  </si>
  <si>
    <t>3.1 Item Master</t>
  </si>
  <si>
    <t>FAT-ITM-010, FAT-ITM-020, FAT-ITM-030, FAT-ITM-040, FAT-ITM-050</t>
  </si>
  <si>
    <t>Covered (5)</t>
  </si>
  <si>
    <t>FDS-03-002</t>
  </si>
  <si>
    <t>Item Types</t>
  </si>
  <si>
    <t>FAT-ITM-060</t>
  </si>
  <si>
    <t>FDS-03-003</t>
  </si>
  <si>
    <t>Item Deprecation</t>
  </si>
  <si>
    <t>FAT-ITM-070</t>
  </si>
  <si>
    <t>FDS-03-004</t>
  </si>
  <si>
    <t>BOM Structure</t>
  </si>
  <si>
    <t>3.2 Bills of Material</t>
  </si>
  <si>
    <t>3.4.2</t>
  </si>
  <si>
    <t>FAT-RB-010, FAT-RB-020</t>
  </si>
  <si>
    <t>FDS-03-005</t>
  </si>
  <si>
    <t>BOM Versioning</t>
  </si>
  <si>
    <t>FAT-RB-030, FAT-RB-040</t>
  </si>
  <si>
    <t>FDS-03-006</t>
  </si>
  <si>
    <t>Single-Level BOMs</t>
  </si>
  <si>
    <t>FAT-RB-050</t>
  </si>
  <si>
    <t>FDS-03-007</t>
  </si>
  <si>
    <t>Route Structure</t>
  </si>
  <si>
    <t>3.3 Route Templates</t>
  </si>
  <si>
    <t>3.11.1–3.11.4</t>
  </si>
  <si>
    <t>FAT-RB-060</t>
  </si>
  <si>
    <t>FDS-03-008</t>
  </si>
  <si>
    <t>Route Steps</t>
  </si>
  <si>
    <t>FAT-RB-070, FAT-RB-080</t>
  </si>
  <si>
    <t>FDS-03-009</t>
  </si>
  <si>
    <t>Route Steps Do Not Prescribe Machines</t>
  </si>
  <si>
    <t>FAT-RB-090</t>
  </si>
  <si>
    <t>FDS-03-010</t>
  </si>
  <si>
    <t>Route Versioning</t>
  </si>
  <si>
    <t>FAT-RB-100</t>
  </si>
  <si>
    <t>FDS-03-011</t>
  </si>
  <si>
    <t>Operation Sequence Flexibility</t>
  </si>
  <si>
    <t>3.11.10</t>
  </si>
  <si>
    <t>FAT-RB-110</t>
  </si>
  <si>
    <t>FDS-03-012</t>
  </si>
  <si>
    <t>Operation Template Design</t>
  </si>
  <si>
    <t>3.4 Operation Templates</t>
  </si>
  <si>
    <t>FAT-OQ-010, FAT-OQ-020, FAT-OQ-030</t>
  </si>
  <si>
    <t>FDS-03-013</t>
  </si>
  <si>
    <t>Operation Templates Drive Screen Behavior</t>
  </si>
  <si>
    <t>3.11.6</t>
  </si>
  <si>
    <t>FAT-OQ-040</t>
  </si>
  <si>
    <t>FDS-03-014</t>
  </si>
  <si>
    <t>Eligibility Map with Hierarchy Cascade</t>
  </si>
  <si>
    <t>3.5 Part-to-Location Eligibility</t>
  </si>
  <si>
    <t>3.4.7</t>
  </si>
  <si>
    <t>FAT-PH-110, FAT-PH-120</t>
  </si>
  <si>
    <t>FDS-03-015</t>
  </si>
  <si>
    <t>Eligibility Management</t>
  </si>
  <si>
    <t>FAT-PH-130</t>
  </si>
  <si>
    <t>FDS-03-018</t>
  </si>
  <si>
    <t>Consumption Metadata on Item-Location Eligibility</t>
  </si>
  <si>
    <t>FAT-PH-140</t>
  </si>
  <si>
    <t>FDS-03-016</t>
  </si>
  <si>
    <t>Container Config</t>
  </si>
  <si>
    <t>3.6 Container Configuration</t>
  </si>
  <si>
    <t>3.9.7</t>
  </si>
  <si>
    <t>FAT-CC-010, FAT-CC-020</t>
  </si>
  <si>
    <t>FDS-03-017</t>
  </si>
  <si>
    <t>Container Closure Logic</t>
  </si>
  <si>
    <t>FAT-CC-030, FAT-CC-040</t>
  </si>
  <si>
    <t>FDS-03-019</t>
  </si>
  <si>
    <t>Per-Item Per-Location Piece Cap</t>
  </si>
  <si>
    <t>FAT-CC-050</t>
  </si>
  <si>
    <t>FDS-03-020</t>
  </si>
  <si>
    <t>Lineside Inventory Cap</t>
  </si>
  <si>
    <t>FAT-CC-060</t>
  </si>
  <si>
    <t>FDS-03-021</t>
  </si>
  <si>
    <t>Tray-Divisibility Validation on Work Order</t>
  </si>
  <si>
    <t>FAT-CC-070</t>
  </si>
  <si>
    <t>FDS-04-001</t>
  </si>
  <si>
    <t>Two Identity Classes</t>
  </si>
  <si>
    <t>4.1 Identity Model</t>
  </si>
  <si>
    <t>FAT-USR-010, FAT-USR-020</t>
  </si>
  <si>
    <t>FDS-04-002</t>
  </si>
  <si>
    <t>Operator Initials Capture</t>
  </si>
  <si>
    <t>FAT-USR-030, FAT-USR-040</t>
  </si>
  <si>
    <t>FDS-04-003</t>
  </si>
  <si>
    <t>Presence Policy: Dedicated vs Shared Views</t>
  </si>
  <si>
    <t>FAT-USR-050, FAT-USR-060</t>
  </si>
  <si>
    <t>FDS-04-004</t>
  </si>
  <si>
    <t>Interactive User Authentication</t>
  </si>
  <si>
    <t>FAT-USR-070</t>
  </si>
  <si>
    <t>FDS-04-005</t>
  </si>
  <si>
    <t>Pre-Populated Initials Field</t>
  </si>
  <si>
    <t>4.2 Event Attribution on Mutations</t>
  </si>
  <si>
    <t>FAT-USR-080, FAT-USR-090</t>
  </si>
  <si>
    <t>FDS-04-006</t>
  </si>
  <si>
    <t>30-Minute Presence Re-Confirmation</t>
  </si>
  <si>
    <t>FAT-USR-100, FAT-USR-110</t>
  </si>
  <si>
    <t>FDS-04-007</t>
  </si>
  <si>
    <t>Elevated Actions Require Active Directory Authentication</t>
  </si>
  <si>
    <t>4.3 Elevation Model</t>
  </si>
  <si>
    <t>FAT-USR-120, FAT-USR-130, FAT-USR-140</t>
  </si>
  <si>
    <t>FDS-04-008</t>
  </si>
  <si>
    <t>Ignition Role Mapping</t>
  </si>
  <si>
    <t>FAT-USR-150</t>
  </si>
  <si>
    <t>FDS-04-009</t>
  </si>
  <si>
    <t>Screen-Level Security</t>
  </si>
  <si>
    <t>FAT-USR-160, FAT-USR-170</t>
  </si>
  <si>
    <t>FDS-04-010</t>
  </si>
  <si>
    <t>Operator AppUser Lifecycle</t>
  </si>
  <si>
    <t>FAT-USR-180, FAT-USR-190</t>
  </si>
  <si>
    <t>FDS-05-001</t>
  </si>
  <si>
    <t>LOT Uniqueness</t>
  </si>
  <si>
    <t>5.1 LOT Identity</t>
  </si>
  <si>
    <t>3.9.6</t>
  </si>
  <si>
    <t>FAT-TRC-010, FAT-TRC-020</t>
  </si>
  <si>
    <t>FDS-05-002</t>
  </si>
  <si>
    <t>LTT Pre-Printing</t>
  </si>
  <si>
    <t>2.2.1</t>
  </si>
  <si>
    <t>FAT-TRC-130</t>
  </si>
  <si>
    <t>FDS-05-003</t>
  </si>
  <si>
    <t>LOT Attributes</t>
  </si>
  <si>
    <t>3.9.6, 2.2.2</t>
  </si>
  <si>
    <t>FAT-TRC-030</t>
  </si>
  <si>
    <t>FDS-05-034</t>
  </si>
  <si>
    <t>Die-Cast-Origin Tool + Cavity Required on Lot Create</t>
  </si>
  <si>
    <t>FAT-DC-030</t>
  </si>
  <si>
    <t>FDS-05-035</t>
  </si>
  <si>
    <t>Tools System of Record — On Lot, Not On ProductionEvent</t>
  </si>
  <si>
    <t>FAT-DC-140</t>
  </si>
  <si>
    <t>FDS-05-031</t>
  </si>
  <si>
    <t>LOT Computed Quantities (TotalInProcess, InventoryAvailable)</t>
  </si>
  <si>
    <t>FAT-TRC-140</t>
  </si>
  <si>
    <t>FDS-05-004</t>
  </si>
  <si>
    <t>Manufactured LOT Creation (Die Cast) — Per-Cavity Open Basket</t>
  </si>
  <si>
    <t>5.2 LOT Creation Workflows</t>
  </si>
  <si>
    <t>FAT-DC-130</t>
  </si>
  <si>
    <t>FDS-05-039</t>
  </si>
  <si>
    <t>Die Cast Basket Lifecycle: Open → Accumulate → Release / Void</t>
  </si>
  <si>
    <t>FAT-DC-040</t>
  </si>
  <si>
    <t>FDS-05-040</t>
  </si>
  <si>
    <t>Shift-Output Recording (the Accumulate action)</t>
  </si>
  <si>
    <t>FAT-DC-150</t>
  </si>
  <si>
    <t>FDS-05-041</t>
  </si>
  <si>
    <t>Basket Release (Open → Good)</t>
  </si>
  <si>
    <t>FAT-DC-090, FAT-DC-100</t>
  </si>
  <si>
    <t>FDS-05-042</t>
  </si>
  <si>
    <t>Basket Void (Open → Scrap)</t>
  </si>
  <si>
    <t>FAT-DC-110</t>
  </si>
  <si>
    <t>FDS-05-005</t>
  </si>
  <si>
    <t>Received LOT Creation (Pass-Through Parts)</t>
  </si>
  <si>
    <t>2.1.1, 2.1.12</t>
  </si>
  <si>
    <t>FAT-INSP-010, FAT-INSP-020</t>
  </si>
  <si>
    <t>FDS-05-006</t>
  </si>
  <si>
    <t>Off-Site Received LOT Creation</t>
  </si>
  <si>
    <t>FAT-INSP-030</t>
  </si>
  <si>
    <t>FDS-05-007</t>
  </si>
  <si>
    <t>Movement Tracking</t>
  </si>
  <si>
    <t>5.3 LOT Movement</t>
  </si>
  <si>
    <t>3.9.8</t>
  </si>
  <si>
    <t>FAT-MOVE-010, FAT-MOVE-020</t>
  </si>
  <si>
    <t>FDS-05-008</t>
  </si>
  <si>
    <t>Movement Workflow</t>
  </si>
  <si>
    <t>FAT-MOVE-030, FAT-MOVE-040, FAT-MOVE-050, FAT-MOVE-060</t>
  </si>
  <si>
    <t>FDS-05-036</t>
  </si>
  <si>
    <t>Lazy, Operator-Driven LOT Creation</t>
  </si>
  <si>
    <t>FAT-TRC-150</t>
  </si>
  <si>
    <t>FDS-05-037</t>
  </si>
  <si>
    <t>LOT Close Semantics</t>
  </si>
  <si>
    <t>FAT-MOVE-070, FAT-MOVE-080</t>
  </si>
  <si>
    <t>FDS-05-032</t>
  </si>
  <si>
    <t>Partial Start and Partial Complete</t>
  </si>
  <si>
    <t>FAT-MOVE-090, FAT-MOVE-100</t>
  </si>
  <si>
    <t>FDS-05-038</t>
  </si>
  <si>
    <t>Pausable LOT at Workstation</t>
  </si>
  <si>
    <t>FAT-MOVE-110, FAT-MOVE-120, FAT-MOVE-130</t>
  </si>
  <si>
    <t>FDS-05-022</t>
  </si>
  <si>
    <t>Sublot Pattern (Machining)</t>
  </si>
  <si>
    <t>5.4 Sub-LOT Splitting</t>
  </si>
  <si>
    <t>FAT-MACH-010</t>
  </si>
  <si>
    <t>FDS-05-024</t>
  </si>
  <si>
    <t>Sublot Labels</t>
  </si>
  <si>
    <t>FAT-LBL-010, FAT-LBL-020</t>
  </si>
  <si>
    <t>FDS-05-009</t>
  </si>
  <si>
    <t>Machining OUT Sub-LOT Extraction Workflow (Extract-One / Partial-Remainder)</t>
  </si>
  <si>
    <t>2.1.4, 2.2.5, 3.9.12</t>
  </si>
  <si>
    <t>FAT-MACH-020, FAT-MACH-030, FAT-MACH-040</t>
  </si>
  <si>
    <t>FDS-05-010</t>
  </si>
  <si>
    <t>Partial-Remainder Handling</t>
  </si>
  <si>
    <t>FAT-MACH-050, FAT-MACH-060</t>
  </si>
  <si>
    <t>FDS-05-011</t>
  </si>
  <si>
    <t>Split Genealogy Permanence</t>
  </si>
  <si>
    <t>FAT-MACH-070</t>
  </si>
  <si>
    <t>FDS-05-012</t>
  </si>
  <si>
    <t>Merge Capability</t>
  </si>
  <si>
    <t>5.5 LOT Merging</t>
  </si>
  <si>
    <t>3.9.13</t>
  </si>
  <si>
    <t>FAT-TRC-070</t>
  </si>
  <si>
    <t>FDS-05-025</t>
  </si>
  <si>
    <t>Post-Sort Requirement</t>
  </si>
  <si>
    <t>3.13.1</t>
  </si>
  <si>
    <t>FAT-TRC-170</t>
  </si>
  <si>
    <t>FDS-05-026</t>
  </si>
  <si>
    <t>Part Number Match</t>
  </si>
  <si>
    <t>FAT-TRC-180</t>
  </si>
  <si>
    <t>FDS-05-027</t>
  </si>
  <si>
    <t>Die Rank Compatibility</t>
  </si>
  <si>
    <t>FAT-TRC-190</t>
  </si>
  <si>
    <t>FDS-05-028</t>
  </si>
  <si>
    <t>Quality Status Gating</t>
  </si>
  <si>
    <t>FAT-TRC-200</t>
  </si>
  <si>
    <t>FDS-05-029</t>
  </si>
  <si>
    <t>Machining Is Not a Merge — FIFO-by-Cavity</t>
  </si>
  <si>
    <t>FAT-TRC-210</t>
  </si>
  <si>
    <t>FDS-05-030</t>
  </si>
  <si>
    <t>Post-Merge LOT Has NULL Tool / Cavity</t>
  </si>
  <si>
    <t>FAT-TRC-220</t>
  </si>
  <si>
    <t>FDS-05-013</t>
  </si>
  <si>
    <t>Status Codes</t>
  </si>
  <si>
    <t>5.6 LOT Status Transitions</t>
  </si>
  <si>
    <t>3.16.3</t>
  </si>
  <si>
    <t>FAT-QH-010, FAT-QH-020</t>
  </si>
  <si>
    <t>FDS-05-014</t>
  </si>
  <si>
    <t>Status Transition Rules</t>
  </si>
  <si>
    <t>FAT-QH-030, FAT-QH-040</t>
  </si>
  <si>
    <t>FDS-05-015</t>
  </si>
  <si>
    <t>Status History</t>
  </si>
  <si>
    <t>3.16.4</t>
  </si>
  <si>
    <t>FAT-QH-050</t>
  </si>
  <si>
    <t>FDS-05-016</t>
  </si>
  <si>
    <t>Genealogy Graph</t>
  </si>
  <si>
    <t>5.7 Genealogy</t>
  </si>
  <si>
    <t>FAT-TRC-060, FAT-TRC-110</t>
  </si>
  <si>
    <t>FDS-05-017</t>
  </si>
  <si>
    <t>Bidirectional Query</t>
  </si>
  <si>
    <t>3.13.2</t>
  </si>
  <si>
    <t>FAT-TRC-080, FAT-TRC-090</t>
  </si>
  <si>
    <t>FDS-05-018</t>
  </si>
  <si>
    <t>Genealogy Report</t>
  </si>
  <si>
    <t>FAT-TRC-160</t>
  </si>
  <si>
    <t>FDS-05-019</t>
  </si>
  <si>
    <t>Label Print Tracking</t>
  </si>
  <si>
    <t>5.8 LOT Label Management</t>
  </si>
  <si>
    <t>FAT-LBL-030</t>
  </si>
  <si>
    <t>FDS-05-020</t>
  </si>
  <si>
    <t>Print Reasons</t>
  </si>
  <si>
    <t>3.13.1, 2.2.1</t>
  </si>
  <si>
    <t>FAT-LBL-040</t>
  </si>
  <si>
    <t>FDS-05-021</t>
  </si>
  <si>
    <t>Attribute Change Log</t>
  </si>
  <si>
    <t>5.9 LOT Attribute Auditing</t>
  </si>
  <si>
    <t>FAT-TRC-040, FAT-TRC-050</t>
  </si>
  <si>
    <t>FDS-05-033</t>
  </si>
  <si>
    <t>Trim → Machining Rename via 1-Line BOM</t>
  </si>
  <si>
    <t>5.10 Part Identity Change</t>
  </si>
  <si>
    <t>FAT-MACH-080</t>
  </si>
  <si>
    <t>FDS-06-001</t>
  </si>
  <si>
    <t>Die Cast Production Screen — Open Panel + Shift-Output Entry (amended 2026-07-29)</t>
  </si>
  <si>
    <t>6.2 Die Cast Workflow</t>
  </si>
  <si>
    <t>MVP-EXPANDED</t>
  </si>
  <si>
    <t>FAT-DC-010, FAT-DC-020</t>
  </si>
  <si>
    <t>FDS-06-002</t>
  </si>
  <si>
    <t>Die Cast Validation (amended 2026-07-29)</t>
  </si>
  <si>
    <t>FAT-DC-160</t>
  </si>
  <si>
    <t>FDS-06-003</t>
  </si>
  <si>
    <t>Die Cast Shift-Output Recording (amended 2026-07-29)</t>
  </si>
  <si>
    <t>FAT-DC-050, FAT-DC-070</t>
  </si>
  <si>
    <t>FDS-06-004</t>
  </si>
  <si>
    <t>Trim IN</t>
  </si>
  <si>
    <t>6.3 Trim Shop Workflow</t>
  </si>
  <si>
    <t>2.2.3</t>
  </si>
  <si>
    <t>FAT-TRIM-010, FAT-TRIM-020</t>
  </si>
  <si>
    <t>FDS-06-005</t>
  </si>
  <si>
    <t>Weight-Based Piece Count Estimation</t>
  </si>
  <si>
    <t>FAT-TRIM-030, FAT-TRIM-040, FAT-TRIM-050</t>
  </si>
  <si>
    <t>FDS-06-006</t>
  </si>
  <si>
    <t>Trim OUT (ProductionEvent + Whole-LOT Move to Machining)</t>
  </si>
  <si>
    <t>FAT-TRIM-060, FAT-TRIM-070, FAT-TRIM-080, FAT-TRIM-090</t>
  </si>
  <si>
    <t>FDS-06-007</t>
  </si>
  <si>
    <t>Machining IN (FIFO Pick + Trim → Machining Rename)</t>
  </si>
  <si>
    <t>6.4 Machining Workflow</t>
  </si>
  <si>
    <t>2.2.4</t>
  </si>
  <si>
    <t>FAT-MACH-090, FAT-MACH-100, FAT-MACH-110, FAT-MACH-120</t>
  </si>
  <si>
    <t>FDS-06-008</t>
  </si>
  <si>
    <t>Machining OUT (Sub-LOT Split on Sublotting Lines, else Auto-Move to Coupled Assembly Cell)</t>
  </si>
  <si>
    <t>2.2.5</t>
  </si>
  <si>
    <t>FAT-MACH-200</t>
  </si>
  <si>
    <t>FDS-06-009</t>
  </si>
  <si>
    <t>Machining Production Event</t>
  </si>
  <si>
    <t>FAT-MACH-130, FAT-MACH-140</t>
  </si>
  <si>
    <t>FDS-06-010</t>
  </si>
  <si>
    <t>Serialized Assembly (PLC-Integrated)</t>
  </si>
  <si>
    <t>6.5 Assembly Workflow</t>
  </si>
  <si>
    <t>FAT-ASM-010, FAT-ASM-020, FAT-ASM-030</t>
  </si>
  <si>
    <t>FDS-06-011</t>
  </si>
  <si>
    <t>Serialized Assembly Material Identification</t>
  </si>
  <si>
    <t>3.10.6</t>
  </si>
  <si>
    <t>FAT-ASM-040, FAT-ASM-050, FAT-ASM-060</t>
  </si>
  <si>
    <t>FDS-06-012</t>
  </si>
  <si>
    <t>Hardware Interlock Bypass</t>
  </si>
  <si>
    <t>FAT-ASM-070</t>
  </si>
  <si>
    <t>FDS-06-013</t>
  </si>
  <si>
    <t>Non-Serialized Assembly (Mint Finished-Good LOT; Tray = LOT)</t>
  </si>
  <si>
    <t>6.6 Assembly Workflow</t>
  </si>
  <si>
    <t>FAT-ASM-080, FAT-ASM-090, FAT-ASM-100</t>
  </si>
  <si>
    <t>FDS-06-014</t>
  </si>
  <si>
    <t>Tray Validation + Container Accumulation</t>
  </si>
  <si>
    <t>FAT-ASM-110, FAT-ASM-120, FAT-ASM-130</t>
  </si>
  <si>
    <t>FDS-06-015</t>
  </si>
  <si>
    <t>Production Event Immutability</t>
  </si>
  <si>
    <t>6.7 Production Events</t>
  </si>
  <si>
    <t>3.5.4</t>
  </si>
  <si>
    <t>FAT-DC-170</t>
  </si>
  <si>
    <t>FDS-06-016</t>
  </si>
  <si>
    <t>Production Event Fields</t>
  </si>
  <si>
    <t>FAT-DC-180</t>
  </si>
  <si>
    <t>FDS-06-017</t>
  </si>
  <si>
    <t>Reject Recording</t>
  </si>
  <si>
    <t>6.8 Reject Events and Scrap Handling</t>
  </si>
  <si>
    <t>FAT-DC-190</t>
  </si>
  <si>
    <t>FDS-06-018</t>
  </si>
  <si>
    <t>Reject Event Fields</t>
  </si>
  <si>
    <t>FAT-DC-200</t>
  </si>
  <si>
    <t>FDS-06-019</t>
  </si>
  <si>
    <t>Reject Data Classification and Scrap Handling Patterns</t>
  </si>
  <si>
    <t>FAT-DC-060</t>
  </si>
  <si>
    <t>FDS-06-020</t>
  </si>
  <si>
    <t>Consumption Tracking</t>
  </si>
  <si>
    <t>6.9 Consumption Events</t>
  </si>
  <si>
    <t>FAT-ASM-140</t>
  </si>
  <si>
    <t>FDS-06-021</t>
  </si>
  <si>
    <t>Consumption Genealogy</t>
  </si>
  <si>
    <t>FAT-ASM-150</t>
  </si>
  <si>
    <t>FDS-06-022</t>
  </si>
  <si>
    <t>Work Order Auto-Generation (Production Type)</t>
  </si>
  <si>
    <t>6.10 Work Orders</t>
  </si>
  <si>
    <t>MVP-LITE</t>
  </si>
  <si>
    <t>3.1.5</t>
  </si>
  <si>
    <t>FAT-MACH-150</t>
  </si>
  <si>
    <t>FDS-06-023</t>
  </si>
  <si>
    <t>Work Order Structure</t>
  </si>
  <si>
    <t>FAT-MACH-160</t>
  </si>
  <si>
    <t>FDS-06-024</t>
  </si>
  <si>
    <t>Work Order Independence from Evidence</t>
  </si>
  <si>
    <t>FAT-MACH-170</t>
  </si>
  <si>
    <t>FDS-06-025</t>
  </si>
  <si>
    <t>WorkOrderType Code Table</t>
  </si>
  <si>
    <t>FAT-MACH-180</t>
  </si>
  <si>
    <t>FDS-06-026</t>
  </si>
  <si>
    <t>Future Maintenance-Engine Schema Hooks</t>
  </si>
  <si>
    <t>FDS-06-028</t>
  </si>
  <si>
    <t>Auto-Finish on Target (Camera / Scale)</t>
  </si>
  <si>
    <t>FAT-ASM-160, FAT-ASM-170</t>
  </si>
  <si>
    <t>FDS-06-029</t>
  </si>
  <si>
    <t>Tray-Divisibility Validation on WO Close</t>
  </si>
  <si>
    <t>FAT-ASM-180</t>
  </si>
  <si>
    <t>FDS-06-030</t>
  </si>
  <si>
    <t>WorkOrder BIT-Flag Enumeration</t>
  </si>
  <si>
    <t>FAT-MACH-190</t>
  </si>
  <si>
    <t>FDS-07-001</t>
  </si>
  <si>
    <t>Container Creation</t>
  </si>
  <si>
    <t>7.2 Container Lifecycle</t>
  </si>
  <si>
    <t>FAT-ASM-190</t>
  </si>
  <si>
    <t>FDS-07-002</t>
  </si>
  <si>
    <t>Container Status Codes</t>
  </si>
  <si>
    <t>FAT-ASM-200</t>
  </si>
  <si>
    <t>FDS-07-003</t>
  </si>
  <si>
    <t>Container Filling — Serialized Lines</t>
  </si>
  <si>
    <t>FAT-ASM-210</t>
  </si>
  <si>
    <t>FDS-07-004</t>
  </si>
  <si>
    <t>Container Filling — Non-Serialized Lines</t>
  </si>
  <si>
    <t>FAT-ASM-220</t>
  </si>
  <si>
    <t>FDS-07-005</t>
  </si>
  <si>
    <t>Container Closure</t>
  </si>
  <si>
    <t>FAT-ASM-230, FAT-ASM-240</t>
  </si>
  <si>
    <t>FDS-07-006</t>
  </si>
  <si>
    <t>Shipping Label Generation</t>
  </si>
  <si>
    <t>7.3 Shipping Labels</t>
  </si>
  <si>
    <t>FAT-LBL-050</t>
  </si>
  <si>
    <t>FDS-07-007</t>
  </si>
  <si>
    <t>Shipping Label Tracking</t>
  </si>
  <si>
    <t>FAT-LBL-060</t>
  </si>
  <si>
    <t>FDS-07-008</t>
  </si>
  <si>
    <t>Shipping Label Void</t>
  </si>
  <si>
    <t>FAT-LBL-070, FAT-LBL-080</t>
  </si>
  <si>
    <t>FDS-07-009</t>
  </si>
  <si>
    <t>Shipping Label Reprint</t>
  </si>
  <si>
    <t>FAT-LBL-090</t>
  </si>
  <si>
    <t>FDS-07-010</t>
  </si>
  <si>
    <t>AIM Shipper ID Local Pool</t>
  </si>
  <si>
    <t>7.4 AIM Integration</t>
  </si>
  <si>
    <t>FAT-LBL-100, FAT-LBL-110</t>
  </si>
  <si>
    <t>FDS-07-011</t>
  </si>
  <si>
    <t>AIM Hold Notification</t>
  </si>
  <si>
    <t>2.3.1</t>
  </si>
  <si>
    <t>FAT-LBL-120</t>
  </si>
  <si>
    <t>FDS-07-012</t>
  </si>
  <si>
    <t>AIM Update for Re-Sort</t>
  </si>
  <si>
    <t>2.1.10</t>
  </si>
  <si>
    <t>FAT-LBL-130</t>
  </si>
  <si>
    <t>FDS-07-013</t>
  </si>
  <si>
    <t>Shipping Validation</t>
  </si>
  <si>
    <t>7.5 Shipping Dock Workflow</t>
  </si>
  <si>
    <t>FAT-MOVE-140, FAT-MOVE-150</t>
  </si>
  <si>
    <t>FDS-07-014</t>
  </si>
  <si>
    <t>Ship Confirmation</t>
  </si>
  <si>
    <t>FAT-MOVE-160</t>
  </si>
  <si>
    <t>FDS-07-015</t>
  </si>
  <si>
    <t>Container Hold</t>
  </si>
  <si>
    <t>7.6 Container Holds</t>
  </si>
  <si>
    <t>FAT-QH-060, FAT-QH-070</t>
  </si>
  <si>
    <t>FDS-07-016</t>
  </si>
  <si>
    <t>Container Hold Release</t>
  </si>
  <si>
    <t>FAT-QH-080</t>
  </si>
  <si>
    <t>FDS-07-017</t>
  </si>
  <si>
    <t>Sort Cage Workflow</t>
  </si>
  <si>
    <t>7.7 Sort Cage</t>
  </si>
  <si>
    <t>2.1.10, 2.2.7</t>
  </si>
  <si>
    <t>FAT-MOVE-170, FAT-MOVE-180, FAT-MOVE-190</t>
  </si>
  <si>
    <t>FDS-07-018</t>
  </si>
  <si>
    <t>Sort Cage Scope Boundary</t>
  </si>
  <si>
    <t>FAT-MOVE-200</t>
  </si>
  <si>
    <t>FDS-07-019</t>
  </si>
  <si>
    <t>Sort Cage Is Not a LOT Merge Event</t>
  </si>
  <si>
    <t>FAT-MOVE-210, FAT-MOVE-220</t>
  </si>
  <si>
    <t>FDS-08-001</t>
  </si>
  <si>
    <t>Hold Placement</t>
  </si>
  <si>
    <t>8.2 Hold Management</t>
  </si>
  <si>
    <t>3.16.10</t>
  </si>
  <si>
    <t>FAT-QH-090, FAT-QH-100</t>
  </si>
  <si>
    <t>FDS-08-002</t>
  </si>
  <si>
    <t>Hold Effect</t>
  </si>
  <si>
    <t>FAT-QH-120</t>
  </si>
  <si>
    <t>FDS-08-003</t>
  </si>
  <si>
    <t>Hold Release</t>
  </si>
  <si>
    <t>3.16.11</t>
  </si>
  <si>
    <t>FAT-QH-130</t>
  </si>
  <si>
    <t>FDS-08-004</t>
  </si>
  <si>
    <t>Hold Without NCM</t>
  </si>
  <si>
    <t>2.1.8</t>
  </si>
  <si>
    <t>FAT-QH-140</t>
  </si>
  <si>
    <t>FDS-08-005</t>
  </si>
  <si>
    <t>Partial Disposition via Split</t>
  </si>
  <si>
    <t>FAT-QH-150</t>
  </si>
  <si>
    <t>FDS-08-006</t>
  </si>
  <si>
    <t>Bulk Hold</t>
  </si>
  <si>
    <t>FAT-QH-160</t>
  </si>
  <si>
    <t>FDS-08-007</t>
  </si>
  <si>
    <t>Container Hold Integration</t>
  </si>
  <si>
    <t>FAT-QH-170</t>
  </si>
  <si>
    <t>FDS-08-008</t>
  </si>
  <si>
    <t>Quality Spec Management</t>
  </si>
  <si>
    <t>8.3 Inspections</t>
  </si>
  <si>
    <t>3.16.1</t>
  </si>
  <si>
    <t>FAT-OQ-050, FAT-OQ-060</t>
  </si>
  <si>
    <t>FDS-08-009</t>
  </si>
  <si>
    <t>Quality Spec Versioning</t>
  </si>
  <si>
    <t>3.16.2</t>
  </si>
  <si>
    <t>FAT-OQ-070</t>
  </si>
  <si>
    <t>FDS-08-010</t>
  </si>
  <si>
    <t>Quality Spec Attributes</t>
  </si>
  <si>
    <t>FAT-OQ-080, FAT-OQ-090</t>
  </si>
  <si>
    <t>FDS-08-011</t>
  </si>
  <si>
    <t>Inspection Recording</t>
  </si>
  <si>
    <t>FAT-QH-180, FAT-QH-190, FAT-QH-200</t>
  </si>
  <si>
    <t>FDS-08-012</t>
  </si>
  <si>
    <t>Failed Inspection Handling</t>
  </si>
  <si>
    <t>FAT-QH-210, FAT-QH-220</t>
  </si>
  <si>
    <t>FDS-08-013</t>
  </si>
  <si>
    <t>Quality Attachments</t>
  </si>
  <si>
    <t>FAT-QH-230</t>
  </si>
  <si>
    <t>FDS-08-014</t>
  </si>
  <si>
    <t>Sample Triggers</t>
  </si>
  <si>
    <t>8.4 Sampling Workflows</t>
  </si>
  <si>
    <t>CONDITIONAL</t>
  </si>
  <si>
    <t>FAT-QH-240</t>
  </si>
  <si>
    <t>FDS-08-015</t>
  </si>
  <si>
    <t>Sample Results as Representative</t>
  </si>
  <si>
    <t>2.1.9</t>
  </si>
  <si>
    <t>FAT-QH-250</t>
  </si>
  <si>
    <t>FDS-08-016</t>
  </si>
  <si>
    <t>Defect Code Management</t>
  </si>
  <si>
    <t>8.5 Defect Codes</t>
  </si>
  <si>
    <t>FAT-CT-010, FAT-CT-020, FAT-CT-030, FAT-CT-040</t>
  </si>
  <si>
    <t>FDS-08-017</t>
  </si>
  <si>
    <t>Area Filtering</t>
  </si>
  <si>
    <t>FAT-CT-050, FAT-CT-060</t>
  </si>
  <si>
    <t>FDS-08-018</t>
  </si>
  <si>
    <t>NCM Scope Boundary</t>
  </si>
  <si>
    <t>8.6 Non-Conformance Management</t>
  </si>
  <si>
    <t>FDS-09-001</t>
  </si>
  <si>
    <t>Manual Downtime Entry</t>
  </si>
  <si>
    <t>9.2 Downtime Events</t>
  </si>
  <si>
    <t>3.15.1</t>
  </si>
  <si>
    <t>FAT-SHIFT-010, FAT-SHIFT-020, FAT-SHIFT-030</t>
  </si>
  <si>
    <t>FDS-09-002</t>
  </si>
  <si>
    <t>PLC-Triggered Downtime</t>
  </si>
  <si>
    <t>3.15.2</t>
  </si>
  <si>
    <t>FAT-SHIFT-040, FAT-SHIFT-050</t>
  </si>
  <si>
    <t>FDS-09-003</t>
  </si>
  <si>
    <t>Open Downtime Events</t>
  </si>
  <si>
    <t>FAT-SHIFT-060</t>
  </si>
  <si>
    <t>FDS-09-004</t>
  </si>
  <si>
    <t>Downtime Event Immutability</t>
  </si>
  <si>
    <t>FAT-SHIFT-070, FAT-SHIFT-080</t>
  </si>
  <si>
    <t>FDS-09-005</t>
  </si>
  <si>
    <t>Downtime Reason Code Filtering</t>
  </si>
  <si>
    <t>FAT-SHIFT-090</t>
  </si>
  <si>
    <t>FDS-09-006</t>
  </si>
  <si>
    <t>Reason Code Seed Data</t>
  </si>
  <si>
    <t>9.3 Downtime Reason Codes</t>
  </si>
  <si>
    <t>FAT-CT-070, FAT-CT-080</t>
  </si>
  <si>
    <t>FDS-09-007</t>
  </si>
  <si>
    <t>Reason Types</t>
  </si>
  <si>
    <t>FAT-CT-090, FAT-CT-100</t>
  </si>
  <si>
    <t>FDS-09-008</t>
  </si>
  <si>
    <t>9.4 Shift Management</t>
  </si>
  <si>
    <t>FAT-SS-010, FAT-SS-020, FAT-SS-030, FAT-SS-040, FAT-SS-050, FAT-SS-060</t>
  </si>
  <si>
    <t>Covered (6)</t>
  </si>
  <si>
    <t>FDS-09-009</t>
  </si>
  <si>
    <t>Shift Instances, Event-Derived Runtime</t>
  </si>
  <si>
    <t>FAT-SHIFT-230</t>
  </si>
  <si>
    <t>FDS-09-010</t>
  </si>
  <si>
    <t>Shift-Downtime Association</t>
  </si>
  <si>
    <t>FAT-SHIFT-100, FAT-SHIFT-110</t>
  </si>
  <si>
    <t>FDS-09-012</t>
  </si>
  <si>
    <t>Shift Schedule Import</t>
  </si>
  <si>
    <t>FAT-SS-070, FAT-SS-080</t>
  </si>
  <si>
    <t>FDS-09-013</t>
  </si>
  <si>
    <t>End-of-Shift Time Entry</t>
  </si>
  <si>
    <t>FAT-SHIFT-120, FAT-SHIFT-130, FAT-SHIFT-140</t>
  </si>
  <si>
    <t>FDS-09-014</t>
  </si>
  <si>
    <t>Early-Start Behaviour</t>
  </si>
  <si>
    <t>FAT-SHIFT-150, FAT-SHIFT-160</t>
  </si>
  <si>
    <t>FDS-09-015</t>
  </si>
  <si>
    <t>Shift-End Summary Screen</t>
  </si>
  <si>
    <t>FAT-SHIFT-170, FAT-SHIFT-180</t>
  </si>
  <si>
    <t>FDS-09-011</t>
  </si>
  <si>
    <t>OEE Scope Boundary</t>
  </si>
  <si>
    <t>9.5 OEE</t>
  </si>
  <si>
    <t>FDS-10-001</t>
  </si>
  <si>
    <t>MIP Touch Points</t>
  </si>
  <si>
    <t>10.2 MIP Handshake Protocol</t>
  </si>
  <si>
    <t>FAT-PLC-010, FAT-PLC-020</t>
  </si>
  <si>
    <t>FDS-10-002</t>
  </si>
  <si>
    <t>MIP Transaction Flow</t>
  </si>
  <si>
    <t>FAT-PLC-030, FAT-PLC-040</t>
  </si>
  <si>
    <t>FDS-10-003</t>
  </si>
  <si>
    <t>MES Alarms</t>
  </si>
  <si>
    <t>FAT-PLC-050, FAT-PLC-060</t>
  </si>
  <si>
    <t>FDS-10-004</t>
  </si>
  <si>
    <t>Disposition-Based Lines</t>
  </si>
  <si>
    <t>10.3 Non-Serialized Line Integration</t>
  </si>
  <si>
    <t>FAT-PLC-070, FAT-PLC-080</t>
  </si>
  <si>
    <t>FDS-10-005</t>
  </si>
  <si>
    <t>Vision / Operator Conflict — Line-Stop Semantics</t>
  </si>
  <si>
    <t>FAT-PLC-090, FAT-PLC-100, FAT-PLC-110</t>
  </si>
  <si>
    <t>FDS-10-009</t>
  </si>
  <si>
    <t>10-Consecutive-Fail Escalation</t>
  </si>
  <si>
    <t>FAT-PLC-120</t>
  </si>
  <si>
    <t>FDS-10-010</t>
  </si>
  <si>
    <t>Failure-Type Branching</t>
  </si>
  <si>
    <t>FAT-PLC-130</t>
  </si>
  <si>
    <t>FDS-10-011</t>
  </si>
  <si>
    <t>Hold Release Path</t>
  </si>
  <si>
    <t>FAT-PLC-140, FAT-PLC-150</t>
  </si>
  <si>
    <t>FDS-10-012</t>
  </si>
  <si>
    <t>Controlled Run Tag (CRT) Workflow</t>
  </si>
  <si>
    <t>FAT-PLC-160, FAT-PLC-170</t>
  </si>
  <si>
    <t>FDS-10-006</t>
  </si>
  <si>
    <t>OmniServer Scale Reads</t>
  </si>
  <si>
    <t>10.4 Scale Integration</t>
  </si>
  <si>
    <t>FAT-PLC-180, FAT-PLC-190</t>
  </si>
  <si>
    <t>FDS-10-007</t>
  </si>
  <si>
    <t>Barcode Scanners</t>
  </si>
  <si>
    <t>10.5 Barcode Integration</t>
  </si>
  <si>
    <t>FAT-PLC-200, FAT-PLC-210</t>
  </si>
  <si>
    <t>FDS-10-008</t>
  </si>
  <si>
    <t>Zebra Printer Integration</t>
  </si>
  <si>
    <t>FAT-LBL-140, FAT-LBL-150</t>
  </si>
  <si>
    <t>FDS-10-013</t>
  </si>
  <si>
    <t>Confirmation Method LocationAttribute</t>
  </si>
  <si>
    <t>FAT-PLC-220, FAT-PLC-230</t>
  </si>
  <si>
    <t>FDS-11-001</t>
  </si>
  <si>
    <t>Operation Log</t>
  </si>
  <si>
    <t>11.2 Log Types</t>
  </si>
  <si>
    <t>FAT-AUD-010, FAT-AUD-020</t>
  </si>
  <si>
    <t>FDS-11-002</t>
  </si>
  <si>
    <t>Configuration Log</t>
  </si>
  <si>
    <t>FAT-AUD-030, FAT-AUD-040</t>
  </si>
  <si>
    <t>FDS-11-003</t>
  </si>
  <si>
    <t>Interface Log</t>
  </si>
  <si>
    <t>FAT-AUD-050</t>
  </si>
  <si>
    <t>FDS-11-004</t>
  </si>
  <si>
    <t>Failure Log</t>
  </si>
  <si>
    <t>FAT-AUD-060, FAT-AUD-070</t>
  </si>
  <si>
    <t>FDS-11-005</t>
  </si>
  <si>
    <t>High-Fidelity Interface Logging</t>
  </si>
  <si>
    <t>FAT-AUD-080</t>
  </si>
  <si>
    <t>FDS-11-006</t>
  </si>
  <si>
    <t>Event Type Vocabulary</t>
  </si>
  <si>
    <t>11.3 Normalized Vocabularies</t>
  </si>
  <si>
    <t>FAT-AUD-090</t>
  </si>
  <si>
    <t>FDS-11-007</t>
  </si>
  <si>
    <t>Entity Type Vocabulary</t>
  </si>
  <si>
    <t>FAT-AUD-100</t>
  </si>
  <si>
    <t>FDS-11-008</t>
  </si>
  <si>
    <t>Code-String Signatures for Shared Audit Procs</t>
  </si>
  <si>
    <t>FAT-AUD-110</t>
  </si>
  <si>
    <t>FDS-11-011</t>
  </si>
  <si>
    <t>Ignition JDBC Single-Result-Set Convention</t>
  </si>
  <si>
    <t>FAT-AUD-120</t>
  </si>
  <si>
    <t>FDS-11-009</t>
  </si>
  <si>
    <t>Retention Policy</t>
  </si>
  <si>
    <t>11.4 Data Retention</t>
  </si>
  <si>
    <t>FAT-AUD-130</t>
  </si>
  <si>
    <t>FDS-11-010</t>
  </si>
  <si>
    <t>BIGINT Primary Keys</t>
  </si>
  <si>
    <t>FAT-AUD-140</t>
  </si>
  <si>
    <t>FDS-12-001</t>
  </si>
  <si>
    <t>LOT Genealogy Report</t>
  </si>
  <si>
    <t>12.2 Traceability Reports</t>
  </si>
  <si>
    <t>FAT-TRC-100</t>
  </si>
  <si>
    <t>FDS-12-002</t>
  </si>
  <si>
    <t>Serialized Item Search</t>
  </si>
  <si>
    <t>FAT-TRC-230</t>
  </si>
  <si>
    <t>FDS-12-003</t>
  </si>
  <si>
    <t>Container Search</t>
  </si>
  <si>
    <t>FAT-TRC-240</t>
  </si>
  <si>
    <t>FDS-12-004</t>
  </si>
  <si>
    <t>LOT Search</t>
  </si>
  <si>
    <t>FAT-TRC-250</t>
  </si>
  <si>
    <t>FDS-12-005</t>
  </si>
  <si>
    <t>Die Shot Report</t>
  </si>
  <si>
    <t>12.3 Production Reports (Replacing Productivity DB)</t>
  </si>
  <si>
    <t>5.6.6</t>
  </si>
  <si>
    <t>FAT-SHIFT-190</t>
  </si>
  <si>
    <t>FDS-12-006</t>
  </si>
  <si>
    <t>Rejects Report</t>
  </si>
  <si>
    <t>FAT-SHIFT-200</t>
  </si>
  <si>
    <t>FDS-12-007</t>
  </si>
  <si>
    <t>Downtime Report</t>
  </si>
  <si>
    <t>3.15.0</t>
  </si>
  <si>
    <t>FAT-SHIFT-210</t>
  </si>
  <si>
    <t>FDS-12-008</t>
  </si>
  <si>
    <t>Production Report</t>
  </si>
  <si>
    <t>FAT-SHIFT-220</t>
  </si>
  <si>
    <t>FDS-12-009</t>
  </si>
  <si>
    <t>In-Process LOT Tracking</t>
  </si>
  <si>
    <t>12.4 Operational Reports</t>
  </si>
  <si>
    <t>FAT-TRC-260</t>
  </si>
  <si>
    <t>FDS-12-010</t>
  </si>
  <si>
    <t>Hold Status Report</t>
  </si>
  <si>
    <t>FAT-TRC-270</t>
  </si>
  <si>
    <t>FDS-12-011</t>
  </si>
  <si>
    <t>Shipping History</t>
  </si>
  <si>
    <t>FAT-TRC-280</t>
  </si>
  <si>
    <t>FDS-12-012</t>
  </si>
  <si>
    <t>Home-Tile Trace Access</t>
  </si>
  <si>
    <t>12.5 Global Trace Tool</t>
  </si>
  <si>
    <t>FAT-TRC-290</t>
  </si>
  <si>
    <t>FDS-12-013</t>
  </si>
  <si>
    <t>Trace Input</t>
  </si>
  <si>
    <t>FAT-TRC-300</t>
  </si>
  <si>
    <t>FDS-12-014</t>
  </si>
  <si>
    <t>Trace Output</t>
  </si>
  <si>
    <t>FAT-TRC-310</t>
  </si>
  <si>
    <t>FDS-12-015</t>
  </si>
  <si>
    <t>Banners-Only In-MVP</t>
  </si>
  <si>
    <t>12.6 Notifications Posture</t>
  </si>
  <si>
    <t>FAT-TRC-320</t>
  </si>
  <si>
    <t>FDS-13-001</t>
  </si>
  <si>
    <t>AIM Interface Methods</t>
  </si>
  <si>
    <t>13.1 AIM (Honda EDI)</t>
  </si>
  <si>
    <t>FAT-LBL-160</t>
  </si>
  <si>
    <t>FDS-13-002</t>
  </si>
  <si>
    <t>AIM Error Handling</t>
  </si>
  <si>
    <t>FAT-LBL-170</t>
  </si>
  <si>
    <t>FDS-13-003</t>
  </si>
  <si>
    <t>AIM Availability</t>
  </si>
  <si>
    <t>FAT-LBL-180</t>
  </si>
  <si>
    <t>FDS-13-004</t>
  </si>
  <si>
    <t>Macola Scope Boundary</t>
  </si>
  <si>
    <t>13.2 Macola ERP</t>
  </si>
  <si>
    <t>FDS-13-005</t>
  </si>
  <si>
    <t>Intelex Scope Boundary</t>
  </si>
  <si>
    <t>13.3 Intelex (Quality Management)</t>
  </si>
  <si>
    <t>FDS-13-006</t>
  </si>
  <si>
    <t>SCADA Scope Boundary</t>
  </si>
  <si>
    <t>13.4 SCADA / Process Dashboards</t>
  </si>
  <si>
    <t>FDS-14-001</t>
  </si>
  <si>
    <t>Seed Data (MVP — Not Conditional)</t>
  </si>
  <si>
    <t>14.1 Overview</t>
  </si>
  <si>
    <t>FAT-ENV-190</t>
  </si>
  <si>
    <t>FDS-14-002</t>
  </si>
  <si>
    <t>Legacy MES Migration (Conditional)</t>
  </si>
  <si>
    <t>—</t>
  </si>
  <si>
    <t>Conditional — no test</t>
  </si>
  <si>
    <t>FDS-14-003</t>
  </si>
  <si>
    <t>Productivity DB Migration (Conditional)</t>
  </si>
  <si>
    <t>FDS-14-004</t>
  </si>
  <si>
    <t>Migration Validation</t>
  </si>
  <si>
    <t>FDS-14-005</t>
  </si>
  <si>
    <t>Flexware BOM Import</t>
  </si>
  <si>
    <t>FAT-RB-120</t>
  </si>
  <si>
    <t>FDS-15-001</t>
  </si>
  <si>
    <t>Phased Rollout</t>
  </si>
  <si>
    <t>15.1 Deployment Approach</t>
  </si>
  <si>
    <t>FAT-ENV-200</t>
  </si>
  <si>
    <t>FDS-15-002</t>
  </si>
  <si>
    <t>Shadow Commissioning</t>
  </si>
  <si>
    <t>6.1.4</t>
  </si>
  <si>
    <t>FAT-ENV-210</t>
  </si>
  <si>
    <t>FDS-15-003</t>
  </si>
  <si>
    <t>Factory Acceptance Testing (FAT)</t>
  </si>
  <si>
    <t>FAT-ENV-220</t>
  </si>
  <si>
    <t>FDS-15-004</t>
  </si>
  <si>
    <t>Site Acceptance Testing (SAT)</t>
  </si>
  <si>
    <t>FAT-ENV-230</t>
  </si>
  <si>
    <t>FDS-15-005</t>
  </si>
  <si>
    <t>Go-Live Support</t>
  </si>
  <si>
    <t>FAT-ENV-240</t>
  </si>
  <si>
    <t>FDS-15-006</t>
  </si>
  <si>
    <t>Rollback Plan</t>
  </si>
  <si>
    <t>FAT-ENV-250</t>
  </si>
  <si>
    <t>FDS-15-007</t>
  </si>
  <si>
    <t>Process Change: Real-Time Data Entry</t>
  </si>
  <si>
    <t>15.2 Change Management</t>
  </si>
  <si>
    <t>FAT-ENV-260</t>
  </si>
  <si>
    <t>FDS-15-008</t>
  </si>
  <si>
    <t>Operator Training</t>
  </si>
  <si>
    <t>FAT-ENV-270</t>
  </si>
  <si>
    <t>FDS-16-001</t>
  </si>
  <si>
    <t>IdentifierSequence Table</t>
  </si>
  <si>
    <t>FAT-TRC-330</t>
  </si>
  <si>
    <t>FDS-16-002</t>
  </si>
  <si>
    <t>IdentifierSequence_Next Proc</t>
  </si>
  <si>
    <t>FAT-TRC-340</t>
  </si>
  <si>
    <t>FDS-16-003</t>
  </si>
  <si>
    <t>Cutover-Day Seeding</t>
  </si>
  <si>
    <t>FAT-TRC-350</t>
  </si>
  <si>
    <t>TestID</t>
  </si>
  <si>
    <t>Workflow</t>
  </si>
  <si>
    <t>Precondition</t>
  </si>
  <si>
    <t>Step</t>
  </si>
  <si>
    <t>Expected Result</t>
  </si>
  <si>
    <t>Result</t>
  </si>
  <si>
    <t>Witness</t>
  </si>
  <si>
    <t>Notes</t>
  </si>
  <si>
    <t>FDS-01-001  —  Ignition Gateway</t>
  </si>
  <si>
    <t>FAT-ENV-010</t>
  </si>
  <si>
    <t>Gateway inspection</t>
  </si>
  <si>
    <t>FAT gateway running</t>
  </si>
  <si>
    <t>On the Ignition Gateway status page, show the Gateway version, OS, and running module set</t>
  </si>
  <si>
    <t>Single Ignition Gateway on Windows Server (&gt;= 2019) hosting the Perspective project, OPC connections, Tag Historian, and Gateway scripts; version and edition displayed</t>
  </si>
  <si>
    <t>witnessed by inspection</t>
  </si>
  <si>
    <t>FAT-ENV-020</t>
  </si>
  <si>
    <t>Gateway status page open</t>
  </si>
  <si>
    <t>Show the loaded MPP Perspective project and its Gateway timer/scheduled scripts</t>
  </si>
  <si>
    <t>MPP project is loaded and running; Gateway-scoped scripts (shift ticker, PLC watchers) are present and enabled</t>
  </si>
  <si>
    <t>FDS-01-002  —  Database Server</t>
  </si>
  <si>
    <t>Database server inspection</t>
  </si>
  <si>
    <t>SQL Server instance reachable</t>
  </si>
  <si>
    <t>Connect to the MES database and show product version, edition, and the schema list</t>
  </si>
  <si>
    <t>SQL Server 2022 Standard; MES database exposes the 8 schemas (Location, Parts, Lots, Workorder, Quality, OEE, Tools, Audit)</t>
  </si>
  <si>
    <t>FDS-01-003  —  Redundancy</t>
  </si>
  <si>
    <t>Redundancy posture</t>
  </si>
  <si>
    <t>Gateway config visible</t>
  </si>
  <si>
    <t>Confirm the current redundancy configuration</t>
  </si>
  <si>
    <t>No gateway redundancy is configured (out of current scope); architecture confirmed to permit adding a redundant gateway later with no schema or application change</t>
  </si>
  <si>
    <t>SHOULD-level future-readiness, not a running feature</t>
  </si>
  <si>
    <t>FDS-01-004  —  Development/Test Environment</t>
  </si>
  <si>
    <t>Dev/Test environment</t>
  </si>
  <si>
    <t>Access to non-prod environment</t>
  </si>
  <si>
    <t>Show the separate development/test Ignition Gateway and its database</t>
  </si>
  <si>
    <t>A dedicated dev/test gateway exists mirroring production spec, backed by its own MES database (MPP_MES_Dev / MPP_MES_Test), separate from production</t>
  </si>
  <si>
    <t>FDS-01-005  —  Event Immutability      (FRS 3.5.4, 3.9.6)</t>
  </si>
  <si>
    <t>Event immutability</t>
  </si>
  <si>
    <t>A LOT with recorded production events</t>
  </si>
  <si>
    <t>Attempt to alter or delete a posted production/genealogy event; then record a correction</t>
  </si>
  <si>
    <t>Evidence and traceability records cannot be updated or deleted; the correction is written as a NEW event, leaving the original intact (append-only)</t>
  </si>
  <si>
    <t>FDS-01-006  —  External Interface Dispatch Pattern      (FRS 3.17.4, 5.5.1)</t>
  </si>
  <si>
    <t>Interface logging</t>
  </si>
  <si>
    <t>Terminal with an assigned Zebra printer</t>
  </si>
  <si>
    <t>Trigger an external call (print a shipping/LOT label) and open Audit.InterfaceLog</t>
  </si>
  <si>
    <t>The external call is logged to Audit.InterfaceLog with request payload, response/result, and any error condition</t>
  </si>
  <si>
    <t>FDS-01-007  —  Tag Historian Separation      (FRS 3.4.10, 5.5.1)</t>
  </si>
  <si>
    <t>Tag Historian separation</t>
  </si>
  <si>
    <t>Gateway Tag Historian configured</t>
  </si>
  <si>
    <t>Show where process/tag values are historized versus where MES transactional records live</t>
  </si>
  <si>
    <t>Time-series process data goes to the Ignition Tag Historian in a SEPARATE database (e.g. MPP_MES_Historian); MES transactional tables hold no tag time-series</t>
  </si>
  <si>
    <t>may share the instance, never the database</t>
  </si>
  <si>
    <t>FDS-01-013  —  BOM Source System at Cutover</t>
  </si>
  <si>
    <t>FAT-ENV-090</t>
  </si>
  <si>
    <t>BOM cutover import</t>
  </si>
  <si>
    <t>A sample Flexware BOM export (JSON) prepared</t>
  </si>
  <si>
    <t>Run Parts.Bom_BulkLoadFromSeed against the sample export</t>
  </si>
  <si>
    <t>Parts.Bom / Parts.BomLine are populated in one transaction; imported BOMs enter as VersionNumber 1 in Published state; re-running is idempotent</t>
  </si>
  <si>
    <t>proves the cutover BOM seed path</t>
  </si>
  <si>
    <t>FAT-ENV-100</t>
  </si>
  <si>
    <t>Bulk-load import loaded</t>
  </si>
  <si>
    <t>Submit an export whose child item does not resolve to a Parts.Item</t>
  </si>
  <si>
    <t>The entire import aborts with an error listing the unresolved child item(s); no partial BOM rows are written</t>
  </si>
  <si>
    <t>FDS-01-008  —  OPC Server Connections</t>
  </si>
  <si>
    <t>OPC connections</t>
  </si>
  <si>
    <t>FAT uses simulated devices</t>
  </si>
  <si>
    <t>Show the Gateway OPC/device connections (or the MPP_Sim simulator standing in for them)</t>
  </si>
  <si>
    <t>OPC/device connections are configured for the scale, assembly PLC, vision, and MIP roles; during FAT these are exercised via the MPP_Sim simulator (live OPC verified at SAT)</t>
  </si>
  <si>
    <t>live OmniServer/TOPServer/Cognex/MIP deferred to SAT (FDS-15-004)</t>
  </si>
  <si>
    <t>FDS-01-009  —  OPC Tag Namespace</t>
  </si>
  <si>
    <t>OPC tag namespace</t>
  </si>
  <si>
    <t>OPC/simulated tags visible</t>
  </si>
  <si>
    <t>Inspect the tag paths for the configured devices</t>
  </si>
  <si>
    <t>Tags follow the consistent [Server]/[Line].[Device].[Tag] namespace convention per the OPC tag map</t>
  </si>
  <si>
    <t>FDS-01-010  —  Authentication      (FRS 5.3)</t>
  </si>
  <si>
    <t>FAT-ENV-130</t>
  </si>
  <si>
    <t>AD user source configured</t>
  </si>
  <si>
    <t>Log in to an interactive (Quality/Supervisor/Engineering/Admin) screen with an AD credential</t>
  </si>
  <si>
    <t>Interactive user authenticates against Active Directory via the Ignition AD User Source</t>
  </si>
  <si>
    <t>FAT-ENV-140</t>
  </si>
  <si>
    <t>Shop-floor terminal open</t>
  </si>
  <si>
    <t>Identify an operator at a shop-floor terminal</t>
  </si>
  <si>
    <t>Operator is identified by initials entry only (no AD authentication); the AppUser row exists for attribution and carries no AD account</t>
  </si>
  <si>
    <t>FDS-01-011  —  Authorization</t>
  </si>
  <si>
    <t>Two users in different AD groups</t>
  </si>
  <si>
    <t>Access a role-restricted screen/function as an authorized then an unauthorized user</t>
  </si>
  <si>
    <t>Access is granted or denied per Ignition security roles/zones mapped from AD groups; no custom RBAC tables involved</t>
  </si>
  <si>
    <t>FDS-01-012  —  Audit Attribution</t>
  </si>
  <si>
    <t>Audit attribution</t>
  </si>
  <si>
    <t>Operator logged in at a known terminal</t>
  </si>
  <si>
    <t>Perform a state-changing action and open the resulting audit/event record</t>
  </si>
  <si>
    <t>The record carries the acting AppUser.Id and the TerminalLocationId; system-triggered events are attributed to the designated system user</t>
  </si>
  <si>
    <t>FDS-01-014  —  External Integration Pattern (Gateway-script-async)</t>
  </si>
  <si>
    <t>FAT-ENV-170</t>
  </si>
  <si>
    <t>Async dispatch</t>
  </si>
  <si>
    <t>Container ready to complete with an assigned printer</t>
  </si>
  <si>
    <t>Complete a container and observe the label dispatch</t>
  </si>
  <si>
    <t>The proc commits DB state (ShippingLabel row, PrintedAt NULL) and returns immediately; the print is dispatched async via sendRequestAsync — the operator is not blocked on printer latency</t>
  </si>
  <si>
    <t>FAT-ENV-180</t>
  </si>
  <si>
    <t>Print handler forced to fail (printer offline)</t>
  </si>
  <si>
    <t>Complete a container while the printer is unavailable</t>
  </si>
  <si>
    <t>Failure surfaces to the operator from persisted DB state (not in-flight handler state) and is logged; visibility survives a Gateway restart</t>
  </si>
  <si>
    <t>FDS-13-004  —  Macola Scope Boundary   [FUTURE]</t>
  </si>
  <si>
    <t xml:space="preserve">   (out of scope — no test required)</t>
  </si>
  <si>
    <t>FDS-13-005  —  Intelex Scope Boundary   [FUTURE]</t>
  </si>
  <si>
    <t>FDS-13-006  —  SCADA Scope Boundary   [FUTURE]</t>
  </si>
  <si>
    <t>FDS-14-001  —  Seed Data (MVP — Not Conditional)</t>
  </si>
  <si>
    <t>Seed data load</t>
  </si>
  <si>
    <t>Freshly provisioned FAT database</t>
  </si>
  <si>
    <t>Verify the required configuration seed data is present</t>
  </si>
  <si>
    <t>Location hierarchy (~230 machines/areas/inventory), item master, defect codes, downtime reason codes, shift schedules, active quality specs, and container configurations are all loaded</t>
  </si>
  <si>
    <t>configuration data, loaded regardless of migration decision</t>
  </si>
  <si>
    <t>FDS-15-001  —  Phased Rollout</t>
  </si>
  <si>
    <t>Deployment plan</t>
  </si>
  <si>
    <t>Deployment plan document available</t>
  </si>
  <si>
    <t>Review the phased rollout plan</t>
  </si>
  <si>
    <t>Plan deploys area-by-area in production flow order starting at Die Cast (the LOT origin), each phase covering configuration, training, shadow commissioning, and go-live</t>
  </si>
  <si>
    <t>witnessed against the plan document</t>
  </si>
  <si>
    <t>FDS-15-002  —  Shadow Commissioning      (FRS 6.1.4)</t>
  </si>
  <si>
    <t>Review the shadow commissioning approach for an area</t>
  </si>
  <si>
    <t>Plan runs the new MES in parallel with the legacy system, operators dual-enter, validating WIP state, traceability, and report accuracy against legacy before go-live</t>
  </si>
  <si>
    <t>FDS-15-003  —  Factory Acceptance Testing (FAT)</t>
  </si>
  <si>
    <t>FAT execution</t>
  </si>
  <si>
    <t>This FAT session underway</t>
  </si>
  <si>
    <t>Confirm the FAT is conducted off-site against simulated production data covering the required criteria</t>
  </si>
  <si>
    <t>FAT exercises LOT create/move/split/merge, production+consumption, container-to-label, hold/re-pack/release, simulated AIM, genealogy accuracy, and interlock validations</t>
  </si>
  <si>
    <t>this checklist IS the FAT record</t>
  </si>
  <si>
    <t>FDS-15-004  —  Site Acceptance Testing (SAT)</t>
  </si>
  <si>
    <t>SAT plan</t>
  </si>
  <si>
    <t>SAT plan document available</t>
  </si>
  <si>
    <t>Review the on-site SAT plan</t>
  </si>
  <si>
    <t>SAT plan repeats all FAT criteria plus live PLC/MIP handshake, live scale/OmniServer, live Zebra printing, scanners, live AIM, and production-volume performance</t>
  </si>
  <si>
    <t>SAT executed on-site post-FAT</t>
  </si>
  <si>
    <t>FDS-15-005  —  Go-Live Support</t>
  </si>
  <si>
    <t>Go-live support</t>
  </si>
  <si>
    <t>Support agreement available</t>
  </si>
  <si>
    <t>Confirm the go-live support commitment</t>
  </si>
  <si>
    <t>On-site support covers the first 5 production days (24-hour coverage); remote support continues for 30 days after go-live</t>
  </si>
  <si>
    <t>witnessed against the plan/agreement</t>
  </si>
  <si>
    <t>FDS-15-006  —  Rollback Plan</t>
  </si>
  <si>
    <t>Rollback plan</t>
  </si>
  <si>
    <t>Rollback plan document available</t>
  </si>
  <si>
    <t>Review the per-phase rollback plan</t>
  </si>
  <si>
    <t>A documented rollback exists for each phase; the legacy system stays operational through the shadow period so an area can revert with no data loss</t>
  </si>
  <si>
    <t>FDS-15-007  —  Process Change: Real-Time Data Entry      (FRS 5.6.6)</t>
  </si>
  <si>
    <t>Process change</t>
  </si>
  <si>
    <t>A shop-floor terminal at a work area</t>
  </si>
  <si>
    <t>Record production at point-of-action rather than on paper for later clerk entry</t>
  </si>
  <si>
    <t>Production data is captured in real time at the machine; no data-entry-clerk step is required</t>
  </si>
  <si>
    <t>demonstrates the paper-first-to-real-time process change</t>
  </si>
  <si>
    <t>FDS-15-008  —  Operator Training</t>
  </si>
  <si>
    <t>Operator training</t>
  </si>
  <si>
    <t>Training materials available</t>
  </si>
  <si>
    <t>Review the operator training package for an area</t>
  </si>
  <si>
    <t>Training covers terminal login, LOT creation, production recording, reject entry, downtime logging, and that area's operation-template screens; delivered before shadow commissioning</t>
  </si>
  <si>
    <t>witnessed against training materials</t>
  </si>
  <si>
    <t>FDS-02-001  —  ISA-95 Location Types</t>
  </si>
  <si>
    <t>FAT-PH-010</t>
  </si>
  <si>
    <t>ISA-95 location types seeded</t>
  </si>
  <si>
    <t>Config Tool open at Plant Hierarchy</t>
  </si>
  <si>
    <t>Inspect the location-type tiers available in the hierarchy</t>
  </si>
  <si>
    <t>Five ISA-95 types exist — Enterprise, Site, Area, Work Center, Cell — with ascending hierarchy levels</t>
  </si>
  <si>
    <t>FAT-PH-020</t>
  </si>
  <si>
    <t>Location types are read-only</t>
  </si>
  <si>
    <t>Attempt to rename or delete one of the five location types</t>
  </si>
  <si>
    <t>No edit/delete affordance for the LocationType tiers; they are seed-locked and not editable by engineering</t>
  </si>
  <si>
    <t>FDS-02-002  —  Hierarchy Enforcement</t>
  </si>
  <si>
    <t>FAT-PH-030</t>
  </si>
  <si>
    <t>Flexible tier nesting</t>
  </si>
  <si>
    <t>An Area with no Work Center tier beneath it</t>
  </si>
  <si>
    <t>Create a Cell directly under the Area</t>
  </si>
  <si>
    <t>Cell is accepted as a direct child of the Area — strict sequential tiers are not required, only child level &gt;= parent level</t>
  </si>
  <si>
    <t>FAT-PH-040</t>
  </si>
  <si>
    <t>Relocation via deprecate + recreate</t>
  </si>
  <si>
    <t>An existing Location in the tree</t>
  </si>
  <si>
    <t>Attempt to change a Location's parent</t>
  </si>
  <si>
    <t>No reparent control exists; ParentLocationId is immutable — relocation is done by deprecating the row and creating a new one under the new parent, preserving history</t>
  </si>
  <si>
    <t>FDS-02-003  —  Areas as Instances      (FRS 3.3.2, 3.7.1)</t>
  </si>
  <si>
    <t>Areas seeded as instances</t>
  </si>
  <si>
    <t>Inspect the Area-tier nodes under the Site</t>
  </si>
  <si>
    <t>MPP's operational areas exist as Location instances (Die Cast, Trim Shop, Machine Shop, Production Control, Quality Control) with ProductionArea / SupportArea definitions</t>
  </si>
  <si>
    <t>FDS-02-004  —  Location Type Definitions (Kinds)</t>
  </si>
  <si>
    <t>FAT-PH-060</t>
  </si>
  <si>
    <t>Location kinds per tier</t>
  </si>
  <si>
    <t>Config Tool open at the Location Type Definition editor</t>
  </si>
  <si>
    <t>Review the definitions (kinds) available within each tier</t>
  </si>
  <si>
    <t>Each tier lists its seeded kinds (e.g. Cell -&gt; Terminal, DieCastMachine, CNCMachine, TrimPress, InventoryLocation, Scale); every Location instance references exactly one</t>
  </si>
  <si>
    <t>FAT-PH-070</t>
  </si>
  <si>
    <t>Add a new kind</t>
  </si>
  <si>
    <t>Location Type Definition editor open</t>
  </si>
  <si>
    <t>Create a new LocationTypeDefinition under a tier and save</t>
  </si>
  <si>
    <t>New kind is added and available for new Location instances with no schema change; change is audited</t>
  </si>
  <si>
    <t>FDS-02-005  —  Attribute Schemas per Definition</t>
  </si>
  <si>
    <t>Attribute schema per kind</t>
  </si>
  <si>
    <t>A Location Type Definition selected in the editor</t>
  </si>
  <si>
    <t>Define attribute definitions on the kind and compare against another kind at the same tier</t>
  </si>
  <si>
    <t>Attributes attach per-definition (e.g. DieCastMachine carries Tonnage/RefCycleTime; Terminal carries IpAddress/DefaultPrinter/HasBarcodeScanner) — schemas are disjoint across kinds</t>
  </si>
  <si>
    <t>FDS-02-006  —  Attribute Value Integrity</t>
  </si>
  <si>
    <t>Attribute value integrity</t>
  </si>
  <si>
    <t>A Terminal-kind Location selected in the tree</t>
  </si>
  <si>
    <t>Open its attribute values and review the offered attributes</t>
  </si>
  <si>
    <t>Only attributes belonging to the Terminal definition are offered; a DieCastMachine attribute (e.g. Tonnage) cannot be set on a Terminal</t>
  </si>
  <si>
    <t>FDS-02-007  —  Machine Seed Data</t>
  </si>
  <si>
    <t>Machine seed data loaded</t>
  </si>
  <si>
    <t>Deployment seed applied</t>
  </si>
  <si>
    <t>Verify the FRS Appendix B machines are present as Cell Locations</t>
  </si>
  <si>
    <t>The ~230 machines are loaded as Cell-tier Locations under their Areas/Work Centers with appropriate kinds and seeded attribute values (tonnage, cycle time where available)</t>
  </si>
  <si>
    <t>deploy-day / cutover seed</t>
  </si>
  <si>
    <t>FDS-03-014  —  Eligibility Map with Hierarchy Cascade      (FRS 3.4.7)</t>
  </si>
  <si>
    <t>FAT-PH-110</t>
  </si>
  <si>
    <t>Eligibility hierarchy cascade</t>
  </si>
  <si>
    <t>A part with an ItemLocation row at the Die Cast Area tier, no Cell-level row</t>
  </si>
  <si>
    <t>Resolve eligibility for that part at a descendant Cell</t>
  </si>
  <si>
    <t>Eligibility resolves by walking up Cell -&gt; Work Center -&gt; Area -&gt; Site; the Area-tier row matches and the part is eligible at the Cell</t>
  </si>
  <si>
    <t>FAT-PH-120</t>
  </si>
  <si>
    <t>No eligibility match rejects</t>
  </si>
  <si>
    <t>A part with no ItemLocation row anywhere in a Cell's chain</t>
  </si>
  <si>
    <t>Resolve eligibility for that part at the Cell</t>
  </si>
  <si>
    <t>Eligibility check returns not-eligible with a clear reject message naming the part and cell</t>
  </si>
  <si>
    <t>FDS-03-015  —  Eligibility Management</t>
  </si>
  <si>
    <t>Eligibility management CRUD</t>
  </si>
  <si>
    <t>Configuration Tool Eligibility screen open for an item</t>
  </si>
  <si>
    <t>Add an ItemLocation row (target any tier — Area, Work Center, or Cell), update it, and remove another</t>
  </si>
  <si>
    <t>Rows are created/updated/removed with the Location picker allowing any tier; every change is logged to the config audit log</t>
  </si>
  <si>
    <t>FDS-03-018  —  Consumption Metadata on Item-Location Eligibility</t>
  </si>
  <si>
    <t>Consumption metadata on eligibility</t>
  </si>
  <si>
    <t>An eligibility row being edited</t>
  </si>
  <si>
    <t>Enable IsConsumptionPoint and set Min / Max / Default quantities</t>
  </si>
  <si>
    <t>Min/Max/Default inputs appear when IsConsumptionPoint is enabled and persist on the row; they drive the runtime Allocations grid (pre-fill Default, validate Min &lt;= entered &lt;= Max)</t>
  </si>
  <si>
    <t>metadata drives shop-floor scan-in</t>
  </si>
  <si>
    <t>FDS-03-001  —  Item Records</t>
  </si>
  <si>
    <t>FAT-ITM-010</t>
  </si>
  <si>
    <t>Item master CRUD</t>
  </si>
  <si>
    <t>Config Tool open at Item Master</t>
  </si>
  <si>
    <t>Create a new part and edit an existing part</t>
  </si>
  <si>
    <t>Part is created and saved; edits persist; changes are audited (config log)</t>
  </si>
  <si>
    <t>FAT-ITM-020</t>
  </si>
  <si>
    <t>Item master fields</t>
  </si>
  <si>
    <t>An item open in Item Master</t>
  </si>
  <si>
    <t>Review the item's data fields</t>
  </si>
  <si>
    <t>Part number, description, units of measure, and related master-data fields are present and editable</t>
  </si>
  <si>
    <t>FAT-ITM-030</t>
  </si>
  <si>
    <t>Sub-lot quantity attribute</t>
  </si>
  <si>
    <t>Set the default sub-lot quantity</t>
  </si>
  <si>
    <t>Default Sub-Lot Quantity is stored on the part</t>
  </si>
  <si>
    <t>FAT-ITM-040</t>
  </si>
  <si>
    <t>Macola part number</t>
  </si>
  <si>
    <t>Enter the associated Macola part number</t>
  </si>
  <si>
    <t>Macola part number attribute is stored and displayed</t>
  </si>
  <si>
    <t>FAT-ITM-050</t>
  </si>
  <si>
    <t>Max LOT size reasonability</t>
  </si>
  <si>
    <t>A part with Max LOT Size set</t>
  </si>
  <si>
    <t>On the shop floor, attempt to set a piece count above Max LOT Size</t>
  </si>
  <si>
    <t>Entry is flagged/blocked as unreasonable per the part's Max LOT Size</t>
  </si>
  <si>
    <t>enforcement is shop-floor</t>
  </si>
  <si>
    <t>FDS-03-002  —  Item Types</t>
  </si>
  <si>
    <t>Item types</t>
  </si>
  <si>
    <t>Assign an item type to a part</t>
  </si>
  <si>
    <t>Item type is stored and constrains downstream routing/area eligibility</t>
  </si>
  <si>
    <t>FDS-03-003  —  Item Deprecation</t>
  </si>
  <si>
    <t>Item deprecation</t>
  </si>
  <si>
    <t>An item with no live LOTs</t>
  </si>
  <si>
    <t>Deprecate a part</t>
  </si>
  <si>
    <t>Part is soft-deleted (DeprecatedAt); owned config cascades; blocked if a live LOT exists</t>
  </si>
  <si>
    <t>Blue Ridge / Non-FDS</t>
  </si>
  <si>
    <t>FAT-ITM-080</t>
  </si>
  <si>
    <t>PLC part mapping</t>
  </si>
  <si>
    <t>An item that maps to a PLC part identifier</t>
  </si>
  <si>
    <t>Set the item's PlcId in Item Master</t>
  </si>
  <si>
    <t>PlcId is saved on the item and used by vision/PLC part verification</t>
  </si>
  <si>
    <t>FDS-03-004  —  BOM Structure      (FRS 3.4.2)</t>
  </si>
  <si>
    <t>FAT-RB-010</t>
  </si>
  <si>
    <t>Create a BOM</t>
  </si>
  <si>
    <t>Config Tool open at Item Master BOMs section for an assembled item</t>
  </si>
  <si>
    <t>Create a BOM and add component lines</t>
  </si>
  <si>
    <t>BOM is created with parent item, version number, and effective date; each line specifies child item, quantity per parent, UOM, and sort order</t>
  </si>
  <si>
    <t>FAT-RB-020</t>
  </si>
  <si>
    <t>Reorder BOM lines</t>
  </si>
  <si>
    <t>A draft BOM with multiple lines</t>
  </si>
  <si>
    <t>Reorder lines using the up/down arrow buttons</t>
  </si>
  <si>
    <t>Line sort order changes via arrows (no drag-and-drop); order persists on save</t>
  </si>
  <si>
    <t>FDS-03-005  —  BOM Versioning</t>
  </si>
  <si>
    <t>FAT-RB-030</t>
  </si>
  <si>
    <t>BOM versioning</t>
  </si>
  <si>
    <t>A published BOM</t>
  </si>
  <si>
    <t>Revise the BOM (create new version) and publish it</t>
  </si>
  <si>
    <t>A new version is created with a new EffectiveFrom; the prior version is soft-deleted (DeprecatedAt set) but remains queryable for historical traceability</t>
  </si>
  <si>
    <t>FAT-RB-040</t>
  </si>
  <si>
    <t>Historical BOM accuracy</t>
  </si>
  <si>
    <t>A part with a superseded BOM version</t>
  </si>
  <si>
    <t>Inspect an old production/LOT record that used the superseded version</t>
  </si>
  <si>
    <t>Production records FK to the BOM version active at time of manufacture; the historical version is preserved and resolvable</t>
  </si>
  <si>
    <t>traceability check</t>
  </si>
  <si>
    <t>FDS-03-006  —  Single-Level BOMs</t>
  </si>
  <si>
    <t>Single-level BOM</t>
  </si>
  <si>
    <t>A BOM open in the editor</t>
  </si>
  <si>
    <t>Review the BOM structure</t>
  </si>
  <si>
    <t>BOM is single-level (one parent -&gt; child lines); no nested/multi-level explosion is authored in the editor</t>
  </si>
  <si>
    <t>FDS-03-007  —  Route Structure      (FRS 3.11.1–3.11.4)</t>
  </si>
  <si>
    <t>Create a route template</t>
  </si>
  <si>
    <t>Config Tool open at Item Master Routes section for a manufactured item</t>
  </si>
  <si>
    <t>Route is created with item, version number, name, and effective date; soft-delete supported</t>
  </si>
  <si>
    <t>FDS-03-008  —  Route Steps</t>
  </si>
  <si>
    <t>FAT-RB-070</t>
  </si>
  <si>
    <t>Add route steps</t>
  </si>
  <si>
    <t>A draft route template</t>
  </si>
  <si>
    <t>Add ordered route steps</t>
  </si>
  <si>
    <t>Each step references an operation template, carries a sequence number and a required flag</t>
  </si>
  <si>
    <t>FAT-RB-080</t>
  </si>
  <si>
    <t>Reorder route steps</t>
  </si>
  <si>
    <t>A draft route with multiple steps</t>
  </si>
  <si>
    <t>Reorder steps using the up/down arrow buttons</t>
  </si>
  <si>
    <t>Step sequence changes via arrows and renumbers; order persists on save</t>
  </si>
  <si>
    <t>FDS-03-009  —  Route Steps Do Not Prescribe Machines</t>
  </si>
  <si>
    <t>Steps do not prescribe machines</t>
  </si>
  <si>
    <t>A route step open in the editor</t>
  </si>
  <si>
    <t>Inspect what a route step references</t>
  </si>
  <si>
    <t>Step references an operation template (operation role) only; there is no machine or location field — the operator picks an eligible machine at runtime</t>
  </si>
  <si>
    <t>FDS-03-010  —  Route Versioning</t>
  </si>
  <si>
    <t>Route versioning</t>
  </si>
  <si>
    <t>A published route template</t>
  </si>
  <si>
    <t>Revise the route (create new version) and publish it</t>
  </si>
  <si>
    <t>A new version is created; the prior version is retained and production records FK to the version active at execution time</t>
  </si>
  <si>
    <t>FDS-03-011  —  Operation Sequence Flexibility      (FRS 3.11.10)</t>
  </si>
  <si>
    <t>Operation sequence flexibility</t>
  </si>
  <si>
    <t>A route in use</t>
  </si>
  <si>
    <t>Insert an additional operation and delete an operation within the route</t>
  </si>
  <si>
    <t>Operations can be inserted and removed within the route, supporting parts that skip steps or need extra operations</t>
  </si>
  <si>
    <t>FDS-14-005  —  Flexware BOM Import</t>
  </si>
  <si>
    <t>Flexware BOM import at cutover</t>
  </si>
  <si>
    <t>Flexware BOM export delivered by MPP IT; every Parent/Child part resolves to an active Item</t>
  </si>
  <si>
    <t>Run the one-shot BOM bulk-load at cutover</t>
  </si>
  <si>
    <t>Pre-flight reports any unresolved part references and blocks until fixed; BOMs seed into Parts.Bom/BomLine as Published; re-run is idempotent (unchanged skip, changed create a new version)</t>
  </si>
  <si>
    <t>cutover/deploy-day step; bulk-load proc + export format owed by MPP IT</t>
  </si>
  <si>
    <t>FDS-03-012  —  Operation Template Design</t>
  </si>
  <si>
    <t>FAT-OQ-010</t>
  </si>
  <si>
    <t>Create an operation template</t>
  </si>
  <si>
    <t>Config Tool open at the Operation Templates editor</t>
  </si>
  <si>
    <t>Create a new operation template</t>
  </si>
  <si>
    <t>Template is created with Code, Name, an OperationType role (DieCast, TrimIn/Out, MachiningIn/Out, AssemblyIn/Out), and optional description; starts in Draft</t>
  </si>
  <si>
    <t>FAT-OQ-020</t>
  </si>
  <si>
    <t>Data collection fields</t>
  </si>
  <si>
    <t>An operation template being edited</t>
  </si>
  <si>
    <t>Attach data collection fields and mark some required</t>
  </si>
  <si>
    <t>Fields are attached via the OperationTemplateField junction (from the DataCollectionField vocabulary) each with an IsRequired flag; the template is reusable across products</t>
  </si>
  <si>
    <t>FAT-OQ-030</t>
  </si>
  <si>
    <t>Operation template versioning</t>
  </si>
  <si>
    <t>A published operation template</t>
  </si>
  <si>
    <t>Create a new version of the template</t>
  </si>
  <si>
    <t>New version is created following the Draft/Published/Deprecated lifecycle; the prior version is retained</t>
  </si>
  <si>
    <t>FDS-03-013  —  Operation Templates Drive Screen Behavior      (FRS 3.11.6)</t>
  </si>
  <si>
    <t>Templates drive screen behavior</t>
  </si>
  <si>
    <t>Two templates with different field sets (e.g. a Die Cast role vs an Assembly role)</t>
  </si>
  <si>
    <t>Open the production screen for a LOT resolving to each template</t>
  </si>
  <si>
    <t>The production screen renders inputs from the template's OperationTemplateField rows — die/cavity/weight for the die-cast role, serial/material-verification for assembly; required fields enforced</t>
  </si>
  <si>
    <t>rendering is shop-floor; config drives it</t>
  </si>
  <si>
    <t>FDS-08-008  —  Quality Spec Management      (FRS 3.16.1)</t>
  </si>
  <si>
    <t>FAT-OQ-050</t>
  </si>
  <si>
    <t>Create a quality spec</t>
  </si>
  <si>
    <t>Config Tool open at the Quality Specs editor</t>
  </si>
  <si>
    <t>Spec is created with a name, an optional associated item, an optional associated operation template, and a list of measurable attributes</t>
  </si>
  <si>
    <t>FAT-OQ-060</t>
  </si>
  <si>
    <t>Manage quality specs</t>
  </si>
  <si>
    <t>Existing quality specs listed</t>
  </si>
  <si>
    <t>Edit a spec's metadata (name, associations) and save</t>
  </si>
  <si>
    <t>Changes persist and are audited; specs are engineering-managed via the configuration tool</t>
  </si>
  <si>
    <t>FDS-08-009  —  Quality Spec Versioning      (FRS 3.16.2)</t>
  </si>
  <si>
    <t>Quality spec versioning</t>
  </si>
  <si>
    <t>A published quality spec version</t>
  </si>
  <si>
    <t>Revise the spec (create new version) and publish</t>
  </si>
  <si>
    <t>A new version is created with a new effective date; the prior version is soft-deleted; inspection records FK to the version active at time of inspection</t>
  </si>
  <si>
    <t>FDS-08-010  —  Quality Spec Attributes</t>
  </si>
  <si>
    <t>FAT-OQ-080</t>
  </si>
  <si>
    <t>Quality spec attributes</t>
  </si>
  <si>
    <t>A quality spec version being edited</t>
  </si>
  <si>
    <t>Define measurable attributes and reorder them</t>
  </si>
  <si>
    <t>Each attribute carries name / data type / UOM / target value / lower limit / upper limit / required flag / sort order; reordering is via up/down arrows</t>
  </si>
  <si>
    <t>FAT-OQ-090</t>
  </si>
  <si>
    <t>Attributes drive inspection screen</t>
  </si>
  <si>
    <t>A published spec with defined attributes</t>
  </si>
  <si>
    <t>Open the inspection screen for a LOT governed by the spec</t>
  </si>
  <si>
    <t>The inspection screen renders input fields dynamically from the spec's attribute definitions</t>
  </si>
  <si>
    <t>FDS-03-016  —  Container Config      (FRS 3.9.7)</t>
  </si>
  <si>
    <t>FAT-CC-010</t>
  </si>
  <si>
    <t>Create a container config</t>
  </si>
  <si>
    <t>Config Tool open at Item Master Container Config section for a finished good</t>
  </si>
  <si>
    <t>Create a container configuration</t>
  </si>
  <si>
    <t>Config is saved with trays per container, parts per tray, serialized flag, dunnage code, and customer code</t>
  </si>
  <si>
    <t>FAT-CC-020</t>
  </si>
  <si>
    <t>Container config persists</t>
  </si>
  <si>
    <t>A finished good with a saved container config</t>
  </si>
  <si>
    <t>Reopen the item and review the container config</t>
  </si>
  <si>
    <t>Fields persist and are the values that drive automatic container lifecycle management on the shop floor</t>
  </si>
  <si>
    <t>FDS-03-017  —  Container Closure Logic</t>
  </si>
  <si>
    <t>FAT-CC-030</t>
  </si>
  <si>
    <t>Closure method + capacity</t>
  </si>
  <si>
    <t>A non-serialized finished good's container config</t>
  </si>
  <si>
    <t>Set the ClosureMethod and review the derived capacity</t>
  </si>
  <si>
    <t>ClosureMethod is selectable (ByCount / ByWeight / ByVision); container capacity resolves to TraysPerContainer x PartsPerTray (capped by Item.MaxParts if set)</t>
  </si>
  <si>
    <t>auto-close fires on shop floor</t>
  </si>
  <si>
    <t>FAT-CC-040</t>
  </si>
  <si>
    <t>Serialized vs non-serialized</t>
  </si>
  <si>
    <t>Two configs — one serialized line, one non-serialized</t>
  </si>
  <si>
    <t>Compare how each is configured for closure</t>
  </si>
  <si>
    <t>Serialized config closes by part count via the MIP handshake; non-serialized config is two-stage (tray validates per ClosureMethod, container count increments per tray pass)</t>
  </si>
  <si>
    <t>FDS-03-019  —  Per-Item Per-Location Piece Cap</t>
  </si>
  <si>
    <t>Per-item per-location piece cap</t>
  </si>
  <si>
    <t>An item with Parts.Item.MaxParts set</t>
  </si>
  <si>
    <t>On the shop floor, attempt to scan pieces into a location that would exceed MaxParts for that item</t>
  </si>
  <si>
    <t>Scan-in is rejected when total pieces of the item across all non-Closed LOTs at the location plus the incoming count would exceed MaxParts</t>
  </si>
  <si>
    <t>FDS-03-020  —  Lineside Inventory Cap</t>
  </si>
  <si>
    <t>Lineside inventory cap</t>
  </si>
  <si>
    <t>A Cell with a LinesideLimit LocationAttribute set</t>
  </si>
  <si>
    <t>On the shop floor, attempt a scan-in that would exceed the Cell's total-piece limit</t>
  </si>
  <si>
    <t>Scan-in is rejected when current lineside pieces across all items plus the incoming quantity would exceed LinesideLimit</t>
  </si>
  <si>
    <t>LinesideLimit set via Plant Hierarchy attribute; enforcement is shop-floor</t>
  </si>
  <si>
    <t>FDS-03-021  —  Tray-Divisibility Validation on Work Order</t>
  </si>
  <si>
    <t>Tray-divisibility on work order</t>
  </si>
  <si>
    <t>A finished good with a container config (PartsPerTray set)</t>
  </si>
  <si>
    <t>Create/edit a work order with a target quantity not evenly divisible by the tray quantity</t>
  </si>
  <si>
    <t>Non-divisible target is rejected with a specific error; at WO Close a non-divisible good count is blocked unless a supervisor overrides via AD elevation (reason logged)</t>
  </si>
  <si>
    <t>Work Orders CONDITIONAL; validates against ContainerConfig</t>
  </si>
  <si>
    <t>FDS-08-016  —  Defect Code Management</t>
  </si>
  <si>
    <t>FAT-CT-010</t>
  </si>
  <si>
    <t>Defect code CRUD</t>
  </si>
  <si>
    <t>Config Tool open at Quality &gt; Defect Codes</t>
  </si>
  <si>
    <t>Create a new defect code and edit an existing one</t>
  </si>
  <si>
    <t>Code is created and saved; edits persist; changes are audited (config log)</t>
  </si>
  <si>
    <t>FAT-CT-020</t>
  </si>
  <si>
    <t>Defect code fields</t>
  </si>
  <si>
    <t>A defect code open in the editor</t>
  </si>
  <si>
    <t>Set the code's Area and IsExcused flag</t>
  </si>
  <si>
    <t>Defect code carries Code, Description, Area association, and IsExcused; IsExcused feeds future OEE quality math</t>
  </si>
  <si>
    <t>FAT-CT-030</t>
  </si>
  <si>
    <t>Defect code seed load</t>
  </si>
  <si>
    <t>Freshly deployed database</t>
  </si>
  <si>
    <t>Verify the FRS Appendix E defect codes were seeded</t>
  </si>
  <si>
    <t>Defect codes loaded from Appendix E (153 rows), each associated with an area (Die Cast, Machine Shop, Trim Shop, Production Control, Quality Control, HSP) with IsExcused set per the appendix</t>
  </si>
  <si>
    <t>deploy-day check</t>
  </si>
  <si>
    <t>FAT-CT-040</t>
  </si>
  <si>
    <t>Defect code deprecation</t>
  </si>
  <si>
    <t>An active defect code</t>
  </si>
  <si>
    <t>Deprecate a defect code</t>
  </si>
  <si>
    <t>Code is soft-deleted (DeprecatedAt) and drops out of active lists; historical references are retained</t>
  </si>
  <si>
    <t>FDS-08-017  —  Area Filtering</t>
  </si>
  <si>
    <t>FAT-CT-050</t>
  </si>
  <si>
    <t>Area filtering — Die Cast</t>
  </si>
  <si>
    <t>A Die Cast production screen</t>
  </si>
  <si>
    <t>Open the defect/scrap reason picker</t>
  </si>
  <si>
    <t>Only Die Cast area defect codes are offered</t>
  </si>
  <si>
    <t>FAT-CT-060</t>
  </si>
  <si>
    <t>Area filtering — cross-check</t>
  </si>
  <si>
    <t>A Machine Shop production screen</t>
  </si>
  <si>
    <t>Open the defect picker on a Machine Shop screen</t>
  </si>
  <si>
    <t>Only Machine Shop codes are shown; Die Cast-only codes are absent</t>
  </si>
  <si>
    <t>FDS-09-006  —  Reason Code Seed Data</t>
  </si>
  <si>
    <t>FAT-CT-070</t>
  </si>
  <si>
    <t>Reason code seed load</t>
  </si>
  <si>
    <t>Verify the downtime reason codes were seeded</t>
  </si>
  <si>
    <t>353 downtime reason codes loaded from FRS Appendix D; each carries code, description, area, reason type, and IsExcused</t>
  </si>
  <si>
    <t>FAT-CT-080</t>
  </si>
  <si>
    <t>Reason code fields</t>
  </si>
  <si>
    <t>A downtime reason code in the list</t>
  </si>
  <si>
    <t>Inspect a reason code's fields</t>
  </si>
  <si>
    <t>Code, description, area, reason type, and IsExcused are all present</t>
  </si>
  <si>
    <t>FDS-09-007  —  Reason Types</t>
  </si>
  <si>
    <t>FAT-CT-090</t>
  </si>
  <si>
    <t>Reason types seeded</t>
  </si>
  <si>
    <t>Review the seeded downtime reason types</t>
  </si>
  <si>
    <t>Six reason types present: Equipment, Miscellaneous, Mold, Quality, Setup, Unscheduled</t>
  </si>
  <si>
    <t>FAT-CT-100</t>
  </si>
  <si>
    <t>Reason type selection</t>
  </si>
  <si>
    <t>Downtime entry screen at a machine</t>
  </si>
  <si>
    <t>Open the reason-type selector then pick a code</t>
  </si>
  <si>
    <t>Operator selects the reason type first (from the six seeded types), then the specific code within that type</t>
  </si>
  <si>
    <t>FDS-09-008  —  Shift Schedules</t>
  </si>
  <si>
    <t>FAT-SS-010</t>
  </si>
  <si>
    <t>Shift schedule config</t>
  </si>
  <si>
    <t>Config Tool open at Shift Schedules (/shifts)</t>
  </si>
  <si>
    <t>Create a new shift schedule (name, start, end, days-of-week, effective date)</t>
  </si>
  <si>
    <t>Schedule saved with Name, StartTime, EndTime, DaysOfWeekBitmask (Mon=1..Sun=64), and EffectiveFrom; creation is audit-logged</t>
  </si>
  <si>
    <t>FAT-SS-020</t>
  </si>
  <si>
    <t>Common shift patterns</t>
  </si>
  <si>
    <t>Shift Schedules screen</t>
  </si>
  <si>
    <t>Configure First Shift (6:00am–2:00pm M–F) and Second Shift (2:00pm–10:00pm M–F)</t>
  </si>
  <si>
    <t>Both schedules persist with correct times and a Mon–Fri days bitmask</t>
  </si>
  <si>
    <t>FAT-SS-030</t>
  </si>
  <si>
    <t>Overnight shift</t>
  </si>
  <si>
    <t>Create a schedule whose end time is earlier than its start time</t>
  </si>
  <si>
    <t>Overnight shift (EndTime &lt; StartTime) is accepted as valid</t>
  </si>
  <si>
    <t>FAT-SS-040</t>
  </si>
  <si>
    <t>Unique schedule name</t>
  </si>
  <si>
    <t>An existing shift schedule</t>
  </si>
  <si>
    <t>Attempt to create another schedule with the same name</t>
  </si>
  <si>
    <t>System rejects the duplicate with a clear message</t>
  </si>
  <si>
    <t>FAT-SS-050</t>
  </si>
  <si>
    <t>Shift schedule soft-delete</t>
  </si>
  <si>
    <t>An active shift schedule</t>
  </si>
  <si>
    <t>Deprecate the schedule</t>
  </si>
  <si>
    <t>Schedule is soft-deleted (DeprecatedAt), not overwritten; EffectiveFrom preserves the schedule across time</t>
  </si>
  <si>
    <t>FAT-SS-060</t>
  </si>
  <si>
    <t>Edit shift schedule</t>
  </si>
  <si>
    <t>Change its start/end time and save</t>
  </si>
  <si>
    <t>Edit persists and is audit-logged</t>
  </si>
  <si>
    <t>FDS-09-012  —  Shift Schedule Import</t>
  </si>
  <si>
    <t>FAT-SS-070</t>
  </si>
  <si>
    <t>Shift schedule import idempotency</t>
  </si>
  <si>
    <t>Shift schedules already loaded</t>
  </si>
  <si>
    <t>Re-apply the schedule set with a revised sheet (updated + new rows)</t>
  </si>
  <si>
    <t>Existing rows update and new rows add without duplicating (idempotent by unique name)</t>
  </si>
  <si>
    <t>bulk spreadsheet import is a cutover step</t>
  </si>
  <si>
    <t>FAT-SS-080</t>
  </si>
  <si>
    <t>Post-import edit audit</t>
  </si>
  <si>
    <t>A shift schedule maintained in the Config Tool</t>
  </si>
  <si>
    <t>Make a manual edit after import</t>
  </si>
  <si>
    <t>Manual Configuration Tool edit is audit-logged</t>
  </si>
  <si>
    <t>FDS-10-001  —  MIP Touch Points</t>
  </si>
  <si>
    <t>FAT-PLC-010</t>
  </si>
  <si>
    <t>Serialized MIP touch points</t>
  </si>
  <si>
    <t>MPP_Sim running; a SerializedMipStation UDT instance exists with a /plc-devices mapping to its terminal</t>
  </si>
  <si>
    <t>Inspect the serialized MIP UDT instance members against the 5GO_AP4 Touchpoint Agreement</t>
  </si>
  <si>
    <t>Instance exposes DataReady, TransInProc, PartSN, PartValid, HardwareInterlockEnforced, WatchDog, ContainerCount, PartType and the alarm member per FDS-10-001</t>
  </si>
  <si>
    <t>Simulator-validated against MPP_Sim; live device tag-map (OpcServer/Device/BasePath) applied at hardware commissioning</t>
  </si>
  <si>
    <t>FAT-PLC-020</t>
  </si>
  <si>
    <t>A TerminalPlcDevice mapping row exists for the station</t>
  </si>
  <si>
    <t>Open /plc-devices and confirm the serialized station terminal is bound to its `[MPP]PlcDevices/&lt;device&gt;` instance path</t>
  </si>
  <si>
    <t>Mapping resolves (PlcWatcher.dispatch finds the terminal + device type); edges on the instance route to the SerializedMip watcher</t>
  </si>
  <si>
    <t>FDS-10-002  —  MIP Transaction Flow</t>
  </si>
  <si>
    <t>FAT-PLC-030</t>
  </si>
  <si>
    <t>Serialized MIP transaction flow</t>
  </si>
  <si>
    <t>A LOT is queued at the assembly-out terminal; Sim Panel /dev/sim/plc open on the device</t>
  </si>
  <si>
    <t>Seed a valid PartSN (&gt;=6) with HardwareInterlockEnforced=True and fire DataReady</t>
  </si>
  <si>
    <t>MES sets TransInProc, reads PartSN + interlock, mints the serialized part against the FIFO front LOT, writes PartValid=1, then resets TransInProc + DataReady; a PlcHandshake InterfaceLog row is written</t>
  </si>
  <si>
    <t>Simulator-validated via /dev/sim/plc against the live watcher</t>
  </si>
  <si>
    <t>FAT-PLC-040</t>
  </si>
  <si>
    <t>Serialized MIP device selected in the Sim Panel; a LOT queued at the terminal</t>
  </si>
  <si>
    <t>Fire DataReady with HardwareInterlockEnforced=False and a blank PartSN</t>
  </si>
  <si>
    <t>Validation is skipped (NoRead path, FDS-06-012); SerializedPart_Mint auto-generates a serial and the part is accepted with PartValid=1</t>
  </si>
  <si>
    <t>Simulator-validated</t>
  </si>
  <si>
    <t>FDS-10-003  —  MES Alarms</t>
  </si>
  <si>
    <t>FAT-PLC-050</t>
  </si>
  <si>
    <t>MIP alarms</t>
  </si>
  <si>
    <t>A serialized part with a given PartSN already exists</t>
  </si>
  <si>
    <t>Fire DataReady re-using that duplicate PartSN</t>
  </si>
  <si>
    <t>Mint is rejected — PartValid=0, alarm text written (HMI-gated), and a failed PlcHandshake row is logged to Audit.InterfaceLog</t>
  </si>
  <si>
    <t>Duplicate dedup is enforced in SerializedPart_Mint; simulator-validated</t>
  </si>
  <si>
    <t>FAT-PLC-060</t>
  </si>
  <si>
    <t>Serialized MIP device in the Sim Panel</t>
  </si>
  <si>
    <t>Attempt the Invalid-PartSN and Low-Inventory alarm cases</t>
  </si>
  <si>
    <t>Alarm message surfaces to the operator/HMI for each</t>
  </si>
  <si>
    <t>Only the duplicate/rejection alarm is wired today; the invalid-PartSN min-length gate and the low-inventory-threshold alarm are proc-level commissioning fill-ins (flagged in the runbook §E)</t>
  </si>
  <si>
    <t>FDS-10-004  —  Disposition-Based Lines</t>
  </si>
  <si>
    <t>FAT-PLC-070</t>
  </si>
  <si>
    <t>Non-serialized disposition line</t>
  </si>
  <si>
    <t>A NonSerializedMipStation instance mapped to a 5A2-style terminal; Sim Panel open</t>
  </si>
  <si>
    <t>Fire DataReady on the non-serialized device</t>
  </si>
  <si>
    <t>Watcher sets TransInProc, acknowledges the handshake, logs it, and resets TransInProc + DataReady</t>
  </si>
  <si>
    <t>Handshake choreography simulator-validated; the FG + tray-piece-count line config (_resolveLineConfig) is a commissioning fill-in — until supplied the completion mint is deliberately skipped (not faked), per runbook §E</t>
  </si>
  <si>
    <t>FAT-PLC-080</t>
  </si>
  <si>
    <t>A TrayInspectionStation device selected in the Sim Panel</t>
  </si>
  <si>
    <t>Fire InspectionComplete with a mix of PartDisposition slot flags set</t>
  </si>
  <si>
    <t>The 18 PartDisposition slots are read by the watcher</t>
  </si>
  <si>
    <t>Disposition slots are read; the passed-parts-count / open-container tray-close bookkeeping is line-specific commissioning (runbook §E)</t>
  </si>
  <si>
    <t>FDS-10-005  —  Vision / Operator Conflict — Line-Stop Semantics</t>
  </si>
  <si>
    <t>FAT-PLC-090</t>
  </si>
  <si>
    <t>Vision line-stop</t>
  </si>
  <si>
    <t>A LOT queued at the tray-inspection terminal whose Item.PlcId is set; Sim Panel open</t>
  </si>
  <si>
    <t>Fire TrayLocked on the tray-inspection device</t>
  </si>
  <si>
    <t>The front FIFO LOT's Item.PlcId is written to the instance PartNumber member (the PLC vision recipe is selected before inspection)</t>
  </si>
  <si>
    <t>FAT-PLC-100</t>
  </si>
  <si>
    <t>TrayLocked already fired (recipe selected) for the front LOT</t>
  </si>
  <si>
    <t>Fire InspectionComplete with a VisionPartNumber that does NOT match the expected recipe</t>
  </si>
  <si>
    <t>LINE STOP — OkToContinue stays false (tray left locked, no release), a PlcLineStop event is written to Audit.InterfaceLog, and the HMI alarm is raised (gated); the LOT's LotStatusCode is left untouched (no Hold)</t>
  </si>
  <si>
    <t>Simulator-validated; line-stop signal to the PLC is asserted by holding OkToContinue false. Optional formal Quality.Hold on mismatch is a deliberate policy hook, not auto-placed</t>
  </si>
  <si>
    <t>FAT-PLC-110</t>
  </si>
  <si>
    <t>TrayLocked already fired for the front LOT</t>
  </si>
  <si>
    <t>Fire InspectionComplete with a VisionPartNumber matching the expected recipe</t>
  </si>
  <si>
    <t>OkToContinue=1 (tray released) and the ByVision tray close runs through Assembly_CompleteTray (mints the FG LOT + consumes BOM)</t>
  </si>
  <si>
    <t>FDS-10-009  —  10-Consecutive-Fail Escalation</t>
  </si>
  <si>
    <t>Consecutive-fail escalation</t>
  </si>
  <si>
    <t>A tray-inspection cell</t>
  </si>
  <si>
    <t>Drive 10 consecutive vision-mismatch failures at the cell and confirm the escalation behaviour</t>
  </si>
  <si>
    <t>On the 10th consecutive fail the line leader is auto-escalated (LeaderEscalationFlagged), a supervisor-dashboard badge fires, supervisor AD elevation (FDS-04-007) is required to resume, and the counter resets on the next pass</t>
  </si>
  <si>
    <t>NOT YET WIRED — the consecutive-fail counter, LeaderEscalationFlagged event, supervisor-resume gate, and the LineStopConsecutiveFailThreshold LocationAttribute are a commissioning fill-in. Today each mismatch records an independent line-stop with no cross-cycle counter</t>
  </si>
  <si>
    <t>FDS-10-010  —  Failure-Type Branching</t>
  </si>
  <si>
    <t>Failure-type branching</t>
  </si>
  <si>
    <t>Exercise each failure type and confirm the branch</t>
  </si>
  <si>
    <t>Wrong-part (vision != operator) flags the leader immediately; wrong-orientation stops but does not escalate; PartDisposition fail counts toward the 10-fail threshold; barcode mis-scan does not stop the line</t>
  </si>
  <si>
    <t>NOT YET WIRED — failure-type branching is not implemented; the watcher records a uniform vision-mismatch line-stop. Commissioning fill-in</t>
  </si>
  <si>
    <t>FDS-10-011  —  Hold Release Path      (FRS 3.16.10)</t>
  </si>
  <si>
    <t>FAT-PLC-140</t>
  </si>
  <si>
    <t>Hold release path</t>
  </si>
  <si>
    <t>A LOT is on Hold</t>
  </si>
  <si>
    <t>As a Quality-role user, AD-elevate (FDS-04-007) and release the hold via the Quality hold screen</t>
  </si>
  <si>
    <t>The HoldEvent row closes (ReleasedAt set) and the LOT's LotStatusCode returns to Good (Hold_Release)</t>
  </si>
  <si>
    <t>Witnessable directly in the Quality hold UI</t>
  </si>
  <si>
    <t>FAT-PLC-150</t>
  </si>
  <si>
    <t>A LOT is on Hold; logged in as an operator without elevation</t>
  </si>
  <si>
    <t>Attempt to release the hold directly</t>
  </si>
  <si>
    <t>Release is blocked — operators cannot release holds; the action is elevation-gated</t>
  </si>
  <si>
    <t>FDS-10-012  —  Controlled Run Tag (CRT) Workflow</t>
  </si>
  <si>
    <t>FAT-PLC-160</t>
  </si>
  <si>
    <t>CRT workflow</t>
  </si>
  <si>
    <t>Release the hold as Quality with a Controlled Run Tag disposition</t>
  </si>
  <si>
    <t>The hold closes, LotStatusCode returns to Good, and Lot.CrtActive is set to 1; the next downstream operation screen forces the 200% double-capture</t>
  </si>
  <si>
    <t>CRT activate/clear procs built; the 200%-inspect double-capture is view-enforced off getRequiredInspections (not proc-gated) in v1</t>
  </si>
  <si>
    <t>FAT-PLC-170</t>
  </si>
  <si>
    <t>A CRT-active LOT (CrtActive=1) reaches its next operation</t>
  </si>
  <si>
    <t>Complete the forced 200% inspection (or skip it)</t>
  </si>
  <si>
    <t>On completion CrtActive clears (Lot_ClearCrt, supervisor-elevated) with a CrtCompleted result; if the CRT run passed through un-inspected the LOT is flagged for re-run with a MissedCrtInspect hold</t>
  </si>
  <si>
    <t>FDS-10-006  —  OmniServer Scale Reads</t>
  </si>
  <si>
    <t>FAT-PLC-180</t>
  </si>
  <si>
    <t>Scale reads</t>
  </si>
  <si>
    <t>A ScaleStation instance mapped to an assembly terminal; Sim Panel open</t>
  </si>
  <si>
    <t>Seed a net weight with MetFlag=False and fire NET_DataReady</t>
  </si>
  <si>
    <t>The watcher reads NET_NetWeightValue / UOM / TargetWeightMetFlag, acknowledges NET_DataReady, and logs the weigh to Audit.InterfaceLog; no container close occurs</t>
  </si>
  <si>
    <t>Simulator-validated; raw-weight persistence (a ProductionEvent/QualitySample) is a commissioning fill-in — weight is captured in the InterfaceLog payload only</t>
  </si>
  <si>
    <t>FAT-PLC-190</t>
  </si>
  <si>
    <t>ScaleStation device selected in the Sim Panel</t>
  </si>
  <si>
    <t>Fire NET_DataReady with MetFlag=True</t>
  </si>
  <si>
    <t>The scale is coupled to container completion — a ByWeight tray close runs through Assembly_CompleteTray at the configured ByWeight piece count; the container auto-completes (AIM + label) when full</t>
  </si>
  <si>
    <t>FDS-10-007  —  Barcode Scanners</t>
  </si>
  <si>
    <t>FAT-PLC-200</t>
  </si>
  <si>
    <t>Barcode scan validation</t>
  </si>
  <si>
    <t>A plant-floor screen with an active LTT input field</t>
  </si>
  <si>
    <t>Scan a valid LTT barcode with the terminal's keyboard-wedge scanner</t>
  </si>
  <si>
    <t>Scan data is injected as keystrokes into the active field (no custom driver); on submit the server validates the LTT format (9-digit + checksum, ufn_IsValidExternalLtt) and accepts it</t>
  </si>
  <si>
    <t>Witnessable directly; keyboard-wedge behaviour is client-side plus server-side format validation</t>
  </si>
  <si>
    <t>FAT-PLC-210</t>
  </si>
  <si>
    <t>Scan a malformed / wrong-format barcode</t>
  </si>
  <si>
    <t>Server-side format validation rejects the scan with an operator toast; no LOT action is taken</t>
  </si>
  <si>
    <t>FDS-10-013  —  Confirmation Method LocationAttribute</t>
  </si>
  <si>
    <t>FAT-PLC-220</t>
  </si>
  <si>
    <t>Confirmation method</t>
  </si>
  <si>
    <t>A PLC-integrated assembly Cell</t>
  </si>
  <si>
    <t>Inspect the Cell's ConfirmationMethod LocationAttribute</t>
  </si>
  <si>
    <t>The attribute is seeded and readable with an allowed value (Vision / Barcode / Both) declaring which source(s) confirm part identity</t>
  </si>
  <si>
    <t>FAT-PLC-230</t>
  </si>
  <si>
    <t>A Cell whose ConfirmationMethod = Both</t>
  </si>
  <si>
    <t>Present a vision read and a barcode read that disagree on part identity</t>
  </si>
  <si>
    <t>The production event does not record until both sources agree; the mismatch counts toward the line-stop threshold, and a supervisor-elevated manual override logs HardwareInterlockBypassed on the ContainerSerial</t>
  </si>
  <si>
    <t>Attribute is seeded and read by the proc/UI; the full Both-reconcile enforcement + override path mirrors the FDS-10-005 line-stop and is partly a commissioning fill-in</t>
  </si>
  <si>
    <t>FDS-04-001  —  Two Identity Classes</t>
  </si>
  <si>
    <t>FAT-USR-010</t>
  </si>
  <si>
    <t>Two identity classes</t>
  </si>
  <si>
    <t>Config Tool AppUser admin</t>
  </si>
  <si>
    <t>Create an operator AppUser and an interactive-user AppUser</t>
  </si>
  <si>
    <t>Operator saved with AdAccount NULL, Initials NOT NULL, no Ignition role; interactive user saved with AdAccount and a role</t>
  </si>
  <si>
    <t>FAT-USR-020</t>
  </si>
  <si>
    <t>Event attribution by AppUserId</t>
  </si>
  <si>
    <t>Any shop-floor event recorded</t>
  </si>
  <si>
    <t>Inspect the stored attribution on the event</t>
  </si>
  <si>
    <t>Event stamps a resolved AppUserId (never free-text initials or names)</t>
  </si>
  <si>
    <t>FDS-04-002  —  Operator Initials Capture</t>
  </si>
  <si>
    <t>FAT-USR-030</t>
  </si>
  <si>
    <t>Operator initials capture</t>
  </si>
  <si>
    <t>A shop-floor terminal at idle</t>
  </si>
  <si>
    <t>Approach the terminal and perform a first action</t>
  </si>
  <si>
    <t>UI prompts for initials; MES resolves the AppUser and establishes an operator presence context; no password is verified</t>
  </si>
  <si>
    <t>FAT-USR-040</t>
  </si>
  <si>
    <t>Presence context handoff</t>
  </si>
  <si>
    <t>An operator presence context established</t>
  </si>
  <si>
    <t>Enter a different operator's initials</t>
  </si>
  <si>
    <t>New presence context replaces the prior one for subsequent events</t>
  </si>
  <si>
    <t>FDS-04-003  —  Presence Policy: Dedicated vs Shared Views</t>
  </si>
  <si>
    <t>FAT-USR-050</t>
  </si>
  <si>
    <t>Dedicated presence policy</t>
  </si>
  <si>
    <t>A terminal running a dedicated-flavor view</t>
  </si>
  <si>
    <t>Leave idle then return</t>
  </si>
  <si>
    <t>policy = confirm; initials persist across idle gaps subject only to the 30-minute re-confirmation</t>
  </si>
  <si>
    <t>FAT-USR-060</t>
  </si>
  <si>
    <t>Shared presence policy</t>
  </si>
  <si>
    <t>A terminal running a shared-flavor view (e.g. Die Cast cabin)</t>
  </si>
  <si>
    <t>Return after idle or change the cell context</t>
  </si>
  <si>
    <t>policy = strict; initials re-requested on first action after idle and re-prompted when the operator changes cell context</t>
  </si>
  <si>
    <t>FDS-04-004  —  Interactive User Authentication</t>
  </si>
  <si>
    <t>Interactive user AD auth</t>
  </si>
  <si>
    <t>An interactive user (Quality/Supervisor/Engineering/Admin)</t>
  </si>
  <si>
    <t>Log into the Config Tool with AD credentials</t>
  </si>
  <si>
    <t>Authenticates via Ignition's AD user source; operators do not exist in AD</t>
  </si>
  <si>
    <t>FDS-04-005  —  Pre-Populated Initials Field</t>
  </si>
  <si>
    <t>FAT-USR-080</t>
  </si>
  <si>
    <t>Pre-populated initials field</t>
  </si>
  <si>
    <t>A mutation screen under an operator presence context</t>
  </si>
  <si>
    <t>Open a shop-floor mutation form</t>
  </si>
  <si>
    <t>Initials field is pre-populated from the presence context; operator may override before submit</t>
  </si>
  <si>
    <t>FAT-USR-090</t>
  </si>
  <si>
    <t>Unknown/deprecated initials blocked</t>
  </si>
  <si>
    <t>A shop-floor mutation form</t>
  </si>
  <si>
    <t>Submit with unknown or deprecated initials</t>
  </si>
  <si>
    <t>Submission blocked with a clear message via AppUser_GetByInitials; no auto-creation of users from unknown initials</t>
  </si>
  <si>
    <t>FDS-04-006  —  30-Minute Presence Re-Confirmation</t>
  </si>
  <si>
    <t>FAT-USR-100</t>
  </si>
  <si>
    <t>30-minute re-confirmation</t>
  </si>
  <si>
    <t>A terminal idle longer than 30 minutes</t>
  </si>
  <si>
    <t>Interact with the terminal</t>
  </si>
  <si>
    <t>Re-confirmation overlay 'Operate as [XY]?' with [Yes] / [No — change]; Yes continues the context, No opens initials entry and clears the prior context</t>
  </si>
  <si>
    <t>FAT-USR-110</t>
  </si>
  <si>
    <t>Configurable timeout</t>
  </si>
  <si>
    <t>Config Tool presence-timeout setting</t>
  </si>
  <si>
    <t>Change the re-confirmation interval</t>
  </si>
  <si>
    <t>The 30-minute value is a Configuration Tool setting (not hard-coded) and takes effect</t>
  </si>
  <si>
    <t>FDS-04-007  —  Elevated Actions Require Active Directory Authentication</t>
  </si>
  <si>
    <t>FAT-USR-120</t>
  </si>
  <si>
    <t>Per-action AD elevation</t>
  </si>
  <si>
    <t>A shop-floor terminal with operator presence</t>
  </si>
  <si>
    <t>Trigger an elevated action (e.g. place hold / scrap)</t>
  </si>
  <si>
    <t>Elevation prompt accepts AD username+password; on success the action is stamped with the authenticating user's AppUserId, not the operator presence context</t>
  </si>
  <si>
    <t>FAT-USR-130</t>
  </si>
  <si>
    <t>Elevation not session-sticky</t>
  </si>
  <si>
    <t>An elevated action just completed</t>
  </si>
  <si>
    <t>Trigger a second elevated action</t>
  </si>
  <si>
    <t>Each elevated action re-prompts for AD; there is no session-sticky (5-minute) elevation</t>
  </si>
  <si>
    <t>FAT-USR-140</t>
  </si>
  <si>
    <t>Elevation cancel</t>
  </si>
  <si>
    <t>Elevation prompt open</t>
  </si>
  <si>
    <t>Cancel the prompt</t>
  </si>
  <si>
    <t>Action does not execute; UI returns to the prior state</t>
  </si>
  <si>
    <t>FDS-04-008  —  Ignition Role Mapping</t>
  </si>
  <si>
    <t>Ignition role mapping</t>
  </si>
  <si>
    <t>AD groups mapped to Ignition roles</t>
  </si>
  <si>
    <t>Sign in as each interactive role</t>
  </si>
  <si>
    <t>Quality / Supervisor / Engineering / Admin capabilities resolve per their AD group; Operator is the absence of interactive authentication</t>
  </si>
  <si>
    <t>FDS-04-009  —  Screen-Level Security</t>
  </si>
  <si>
    <t>FAT-USR-160</t>
  </si>
  <si>
    <t>Screen-level security</t>
  </si>
  <si>
    <t>Shop-floor and Config Tool screens</t>
  </si>
  <si>
    <t>Access each without interactive authentication</t>
  </si>
  <si>
    <t>Shop-floor screens open on operator presence alone and expose no master-data functions; Config Tool / Supervisor / Engineering screens require AD auth on page entry</t>
  </si>
  <si>
    <t>FAT-USR-170</t>
  </si>
  <si>
    <t>Elevated controls visible but gated</t>
  </si>
  <si>
    <t>A shop-floor screen with elevated action buttons</t>
  </si>
  <si>
    <t>View and activate an elevated control as an operator</t>
  </si>
  <si>
    <t>Control is visible but triggers the FDS-04-007 AD prompt on activation; an unauthorised user cancels out</t>
  </si>
  <si>
    <t>FDS-04-010  —  Operator AppUser Lifecycle</t>
  </si>
  <si>
    <t>FAT-USR-180</t>
  </si>
  <si>
    <t>Operator AppUser lifecycle</t>
  </si>
  <si>
    <t>Admin-only AppUser screen</t>
  </si>
  <si>
    <t>Create an operator whose initials collide with an existing row</t>
  </si>
  <si>
    <t>Admin enters disambiguating initials (unique); operator rows carry AdAccount NULL and no Ignition role</t>
  </si>
  <si>
    <t>FAT-USR-190</t>
  </si>
  <si>
    <t>Operator deprecation</t>
  </si>
  <si>
    <t>An operator AppUser with historical events</t>
  </si>
  <si>
    <t>Deprecate the operator</t>
  </si>
  <si>
    <t>Standard DeprecatedAt soft-delete; events referencing the operator retain the historical AppUserId</t>
  </si>
  <si>
    <t>FDS-02-008  —  Terminal as Cell Kind</t>
  </si>
  <si>
    <t>FAT-TERM-010</t>
  </si>
  <si>
    <t>Terminal registration</t>
  </si>
  <si>
    <t>Config Tool location admin</t>
  </si>
  <si>
    <t>Register a shop-floor station as a Terminal Location</t>
  </si>
  <si>
    <t>Location created with LocationTypeDefinition = Terminal (resolving to LocationType = Cell), parented under a Cell/WorkCenter/Area</t>
  </si>
  <si>
    <t>FAT-TERM-020</t>
  </si>
  <si>
    <t>Terminal attributes</t>
  </si>
  <si>
    <t>A registered Terminal</t>
  </si>
  <si>
    <t>Set IP address, default Zebra printer, and scanner-availability attributes</t>
  </si>
  <si>
    <t>Attributes stored as LocationAttribute entries on the Terminal definition; registry surfaces a HasPrinter validation flag</t>
  </si>
  <si>
    <t>FAT-TERM-030</t>
  </si>
  <si>
    <t>Terminal requires child printer</t>
  </si>
  <si>
    <t>A Terminal with no active child Printer</t>
  </si>
  <si>
    <t>Review the terminal registry validation</t>
  </si>
  <si>
    <t>HasPrinter flag marks the terminal as missing a printer; every Terminal carries at least one active child Printer Location</t>
  </si>
  <si>
    <t>FAT-TERM-040</t>
  </si>
  <si>
    <t>Terminal resolves by IP</t>
  </si>
  <si>
    <t>A registered terminal</t>
  </si>
  <si>
    <t>Open a Perspective session from the terminal's IP</t>
  </si>
  <si>
    <t>Gateway resolver returns terminal identity, parent zone, and DefaultScreen (Terminal_GetByIpAddress) — no mode carried</t>
  </si>
  <si>
    <t>FDS-02-009  —  Cell Context Selection</t>
  </si>
  <si>
    <t>FAT-TERM-060</t>
  </si>
  <si>
    <t>Dedicated cell context</t>
  </si>
  <si>
    <t>Start a session</t>
  </si>
  <si>
    <t>Location context is fixed to the Terminal's parent Location (Cell/Line/Area); no selector shown; events carry both TerminalLocationId and LocationId</t>
  </si>
  <si>
    <t>FAT-TERM-070</t>
  </si>
  <si>
    <t>Shared cell context selection</t>
  </si>
  <si>
    <t>A terminal running a shared-flavor view (Die Cast cabin)</t>
  </si>
  <si>
    <t>Start a session and pick the press</t>
  </si>
  <si>
    <t>Operator selects context by scan or dropdown from the terminal-parent's descendant equipment Cells (Terminal_ListContextCells); chosen LocationId applies to subsequent events</t>
  </si>
  <si>
    <t>FAT-TERM-080</t>
  </si>
  <si>
    <t>Mid-session context change</t>
  </si>
  <si>
    <t>A shared-flavor terminal with a context selected</t>
  </si>
  <si>
    <t>Change the cell context by scan or dropdown</t>
  </si>
  <si>
    <t>New LocationId applies to all subsequent events until changed again</t>
  </si>
  <si>
    <t>FDS-02-010  —  Terminal Behavior Determined by Assigned View</t>
  </si>
  <si>
    <t>FAT-TERM-090</t>
  </si>
  <si>
    <t>View flavor determines behavior</t>
  </si>
  <si>
    <t>Two terminals with different DefaultScreen assignments</t>
  </si>
  <si>
    <t>Compare a dedicated-flavor and a shared-flavor terminal</t>
  </si>
  <si>
    <t>Dedicated-vs-shared behavior follows the assigned operator view (DefaultScreen); no TerminalMode attribute exists; session.custom.presence.policy is set on load</t>
  </si>
  <si>
    <t>FAT-TERM-100</t>
  </si>
  <si>
    <t>DefaultScreen assignment</t>
  </si>
  <si>
    <t>Attach a Terminal under a tier and assign its DefaultScreen</t>
  </si>
  <si>
    <t>Terminal can be parented at Cell/WorkCenter/Area; behavior follows the assigned view from the MPP per-workstation list</t>
  </si>
  <si>
    <t>FDS-02-011  —  Cell Context Change Rules</t>
  </si>
  <si>
    <t>FAT-TERM-110</t>
  </si>
  <si>
    <t>Dedicated context locked</t>
  </si>
  <si>
    <t>A dedicated-flavor terminal</t>
  </si>
  <si>
    <t>Attempt to change the cell context</t>
  </si>
  <si>
    <t>No scan/dropdown/search is offered; the parent Location is the fixed context for the session</t>
  </si>
  <si>
    <t>FAT-TERM-120</t>
  </si>
  <si>
    <t>Shared context change constrained</t>
  </si>
  <si>
    <t>A shared-flavor terminal</t>
  </si>
  <si>
    <t>Change context via the selector</t>
  </si>
  <si>
    <t>Change is allowed only via scan-or-dropdown, constrained to descendant equipment Cells of the terminal's parent (prevents cross-machine misattribution)</t>
  </si>
  <si>
    <t>FDS-02-012  —  Part ↔ Cell Eligibility</t>
  </si>
  <si>
    <t>FAT-TERM-130</t>
  </si>
  <si>
    <t>Part↔Cell eligibility — direct</t>
  </si>
  <si>
    <t>A LOT being scanned into a cell</t>
  </si>
  <si>
    <t>Scan a LOT whose Item has direct ItemLocation eligibility at the cell or an ancestor tier</t>
  </si>
  <si>
    <t>Scan-in passes the eligibility check (ItemLocation_CheckEligibility)</t>
  </si>
  <si>
    <t>FAT-TERM-140</t>
  </si>
  <si>
    <t>Part↔Cell eligibility — BOM-derived</t>
  </si>
  <si>
    <t>A component LOT at an assembly cell</t>
  </si>
  <si>
    <t>Scan a LOT that is a child line of an eligible parent's active BOM</t>
  </si>
  <si>
    <t>Scan-in passes via BOM-derived eligibility (no explicit ItemLocation row required)</t>
  </si>
  <si>
    <t>FAT-TERM-150</t>
  </si>
  <si>
    <t>Ineligible part rejected</t>
  </si>
  <si>
    <t>A LOT with neither direct nor BOM-derived eligibility</t>
  </si>
  <si>
    <t>Scan the LOT into the cell</t>
  </si>
  <si>
    <t>Rejected: 'Part {PartNumber} is not configured for {CellCode} and is not a component of any part eligible there.'</t>
  </si>
  <si>
    <t>FDS-02-013  —  Mobile-Friendly Design Input</t>
  </si>
  <si>
    <t>Tablet-friendly Die Cast screens</t>
  </si>
  <si>
    <t>A Die Cast area tablet</t>
  </si>
  <si>
    <t>Operate the Die Cast screens on the tablet</t>
  </si>
  <si>
    <t>Layout is touch-friendly (targets &gt;= 44 px, portrait supported) and usable one-handed where practical</t>
  </si>
  <si>
    <t>ongoing design constraint</t>
  </si>
  <si>
    <t>FDS-02-014  —  Honda RFID Forward-Compatibility   [FUTURE]</t>
  </si>
  <si>
    <t>FAT-TERM-050</t>
  </si>
  <si>
    <t>Unrecognized terminal gate</t>
  </si>
  <si>
    <t>A station whose IP is not registered</t>
  </si>
  <si>
    <t>Open a session from the unregistered IP</t>
  </si>
  <si>
    <t>Terminal Selector gate appears (fallback context = whole Facility, subtitle 'Madison Facility'); operator picks the terminal from the plant tree</t>
  </si>
  <si>
    <t>BRA affordance</t>
  </si>
  <si>
    <t>FDS-05-034  —  Die-Cast-Origin Tool + Cavity Required on Lot Create</t>
  </si>
  <si>
    <t>Open cavity basket</t>
  </si>
  <si>
    <t>Mounted die with defined cavities</t>
  </si>
  <si>
    <t>Open a new accumulating basket for a specific cavity</t>
  </si>
  <si>
    <t>A LOT is created for that (tool,cavity) with a printed LTT; the LOT records Die# and Cavity#</t>
  </si>
  <si>
    <t>FDS-05-035  —  Tools System of Record — On Lot, Not On ProductionEvent</t>
  </si>
  <si>
    <t>Tools system of record</t>
  </si>
  <si>
    <t>A die-cast-origin LOT with tool + cavity</t>
  </si>
  <si>
    <t>Inspect where Tool/Cavity are stored and check a downstream LOT</t>
  </si>
  <si>
    <t>Tool and Cavity live on Lots.Lot (never on ProductionEvent); a downstream finished-good LOT carries NULL Tool/Cavity but resolves the die via genealogy</t>
  </si>
  <si>
    <t>FDS-05-004  —  Manufactured LOT Creation (Die Cast) — Per-Cavity Open Basket</t>
  </si>
  <si>
    <t>Manufactured LOT creation</t>
  </si>
  <si>
    <t>A mounted die at a die-cast machine terminal</t>
  </si>
  <si>
    <t>Open a new per-cavity basket and confirm the LOT origin</t>
  </si>
  <si>
    <t>LOT is created with LotOriginType=Manufactured at the machine, ToolId/ToolCavityId set, status Open, PieceCount 0</t>
  </si>
  <si>
    <t>FDS-05-039  —  Die Cast Basket Lifecycle: Open → Accumulate → Release / Void</t>
  </si>
  <si>
    <t>One open basket already exists on a cavity</t>
  </si>
  <si>
    <t>Attempt to open a second basket on the same cavity</t>
  </si>
  <si>
    <t>System refuses — one open basket per (tool cavity) is enforced</t>
  </si>
  <si>
    <t>FDS-05-040  —  Shift-Output Recording (the Accumulate action)</t>
  </si>
  <si>
    <t>Shift-output accumulate</t>
  </si>
  <si>
    <t>An open cavity basket</t>
  </si>
  <si>
    <t>Record shift output (the accumulate action) across two shifts</t>
  </si>
  <si>
    <t>Each shift's net-good contribution is added to the open basket via DieCastContribution; the basket accumulates across shifts and operators until released</t>
  </si>
  <si>
    <t>FDS-05-041  —  Basket Release (Open → Good)</t>
  </si>
  <si>
    <t>FAT-DC-090</t>
  </si>
  <si>
    <t>Release basket to storage</t>
  </si>
  <si>
    <t>An open basket has accumulated good pieces</t>
  </si>
  <si>
    <t>Release the basket</t>
  </si>
  <si>
    <t>Basket transitions Open → Good and moves to warehouse storage (first route movement); it now appears in the Trim IN queue</t>
  </si>
  <si>
    <t>FAT-DC-100</t>
  </si>
  <si>
    <t>Under-fill release warning</t>
  </si>
  <si>
    <t>An open basket below the fill target</t>
  </si>
  <si>
    <t>Release a basket under the soft ceiling</t>
  </si>
  <si>
    <t>A warning is shown (5% tolerance) but release is permitted — soft ceiling never hard-blocks</t>
  </si>
  <si>
    <t>BRA refinement</t>
  </si>
  <si>
    <t>FDS-05-042  —  Basket Void (Open → Scrap)</t>
  </si>
  <si>
    <t>Void empty basket</t>
  </si>
  <si>
    <t>An open basket with zero good pieces</t>
  </si>
  <si>
    <t>Void the empty basket</t>
  </si>
  <si>
    <t>Empty Open basket transitions to Scrap; no storage movement</t>
  </si>
  <si>
    <t>FDS-06-001  —  Die Cast Production Screen — Open Panel + Shift-Output Entry (amended 2026-07-29)</t>
  </si>
  <si>
    <t>FAT-DC-010</t>
  </si>
  <si>
    <t>Die Cast entry screen</t>
  </si>
  <si>
    <t>Terminal assigned a Die Cast Machine flavor; a die is mounted</t>
  </si>
  <si>
    <t>Navigate to the Die Cast Entry screen</t>
  </si>
  <si>
    <t>Screen loads showing the mounted tool, its cavities, and the current shift; Open / Record / Release tabs present</t>
  </si>
  <si>
    <t>FAT-DC-020</t>
  </si>
  <si>
    <t>Die Cast Entry open</t>
  </si>
  <si>
    <t>Inspect the header/rail information</t>
  </si>
  <si>
    <t>Date/time + shift, machine, part number, die and cavity, good/scrap counts, and logged-in operator initials are all shown</t>
  </si>
  <si>
    <t>FDS-06-002  —  Die Cast Validation (amended 2026-07-29)</t>
  </si>
  <si>
    <t>Die cast validation</t>
  </si>
  <si>
    <t>A die-cast entry with an item whose route lacks a DieCast step</t>
  </si>
  <si>
    <t>Attempt to open/record for an ineligible item</t>
  </si>
  <si>
    <t>Pre-record validation blocks: the item must be eligible at the cell and have a published DieCast-role route step; a clear warning is shown</t>
  </si>
  <si>
    <t>FDS-06-003  —  Die Cast Shift-Output Recording (amended 2026-07-29)</t>
  </si>
  <si>
    <t>FAT-DC-050</t>
  </si>
  <si>
    <t>Record shift output</t>
  </si>
  <si>
    <t>An open basket exists on at least one cavity</t>
  </si>
  <si>
    <t>Enter the gross shot count and any scrap for the shift and submit</t>
  </si>
  <si>
    <t>Good = gross − scrap − shot-loss is credited to the open basket(s); a production/contribution record is written with operator, machine, die, cavity, counts</t>
  </si>
  <si>
    <t>FAT-DC-070</t>
  </si>
  <si>
    <t>Record shift output — shot loss</t>
  </si>
  <si>
    <t>Recording shift output</t>
  </si>
  <si>
    <t>Register a whole-shot loss</t>
  </si>
  <si>
    <t>Shot loss fans out across every open cavity LOT on the tool and reduces computed good</t>
  </si>
  <si>
    <t>FDS-06-015  —  Production Event Immutability      (FRS 3.5.4)</t>
  </si>
  <si>
    <t>Production event immutability</t>
  </si>
  <si>
    <t>A recorded die-cast shift-output / production event</t>
  </si>
  <si>
    <t>Attempt to edit or delete the production event</t>
  </si>
  <si>
    <t>ProductionEvent rows are append-only — no update or delete path; corrections are new events</t>
  </si>
  <si>
    <t>FDS-06-016  —  Production Event Fields</t>
  </si>
  <si>
    <t>Production event fields</t>
  </si>
  <si>
    <t>A recorded production event</t>
  </si>
  <si>
    <t>Inspect the production event fields</t>
  </si>
  <si>
    <t>Event carries LotId, LocationId, TerminalLocationId, AppUserId, counts, and timestamp; Tool/Cavity are derived via the LOT, not stored on the event</t>
  </si>
  <si>
    <t>FDS-06-017  —  Reject Recording</t>
  </si>
  <si>
    <t>Reject recording</t>
  </si>
  <si>
    <t>Die-cast shift-output entry with scrap</t>
  </si>
  <si>
    <t>Record a reject with a defect code and quantity</t>
  </si>
  <si>
    <t>A RejectEvent is written (optional — reject is not required to record production); scrap is additive and does not decrement the basket good count</t>
  </si>
  <si>
    <t>FDS-06-018  —  Reject Event Fields</t>
  </si>
  <si>
    <t>Reject event fields</t>
  </si>
  <si>
    <t>A recorded reject event</t>
  </si>
  <si>
    <t>Inspect the reject event fields</t>
  </si>
  <si>
    <t>RejectEvent carries LotId, defect code, reject quantity, scrap source, operator, terminal, and timestamp</t>
  </si>
  <si>
    <t>FDS-06-019  —  Reject Data Classification and Scrap Handling Patterns</t>
  </si>
  <si>
    <t>Record shift output — scrap</t>
  </si>
  <si>
    <t>Enter one or more scrap reasons with quantities</t>
  </si>
  <si>
    <t>Scrap is recorded additively as a separate metric and never decrements the basket good count</t>
  </si>
  <si>
    <t>FAT-DC-080</t>
  </si>
  <si>
    <t>Die shot-count initialization</t>
  </si>
  <si>
    <t>Commissioning/deploy checklist item</t>
  </si>
  <si>
    <t>Verify the die shot-count was initialized to the current physical count at commissioning</t>
  </si>
  <si>
    <t>Die shot counter reflects the real starting shot count (deploy-day step)</t>
  </si>
  <si>
    <t>FRS 3.14.8 — commissioning</t>
  </si>
  <si>
    <t>FAT-DC-120</t>
  </si>
  <si>
    <t>Basket overflow gate</t>
  </si>
  <si>
    <t>Recording output that would exceed the basket ceiling</t>
  </si>
  <si>
    <t>Submit output over the ceiling</t>
  </si>
  <si>
    <t>Overflow-resolution popup offers fill+release+new-LTT or overfill; operator choice is honored</t>
  </si>
  <si>
    <t>FDS-06-004  —  Trim IN      (FRS 2.2.3)</t>
  </si>
  <si>
    <t>FAT-TRIM-010</t>
  </si>
  <si>
    <t>A released die-cast LOT sits in this Trim area's IN queue; terminal bound to the Trim shop</t>
  </si>
  <si>
    <t>Scan the LTT barcode of an arriving LOT (or pick it from the FIFO queue)</t>
  </si>
  <si>
    <t>A LotMovement is recorded to the Trim Shop Area; the LOT is checked in at Trim at area resolution (no line/cell tracking)</t>
  </si>
  <si>
    <t>FAT-TRIM-020</t>
  </si>
  <si>
    <t>Trim terminal bound to its shop zone</t>
  </si>
  <si>
    <t>Inspect the Trim IN queue</t>
  </si>
  <si>
    <t>Queue lists die-cast LOTs whose next pending route step is Trim, scoped to the terminal's Trim zone, ordered FIFO by arrival</t>
  </si>
  <si>
    <t>FDS-06-005  —  Weight-Based Piece Count Estimation</t>
  </si>
  <si>
    <t>FAT-TRIM-030</t>
  </si>
  <si>
    <t>Weight-based piece count</t>
  </si>
  <si>
    <t>A LOT checked in at Trim; its Item has a UnitWeight</t>
  </si>
  <si>
    <t>Read the basket weight from the scale (manual entry or OmniServer) into the weight field</t>
  </si>
  <si>
    <t>System computes a theoretical count = Weight / Item.UnitWeight and displays it alongside the LOT's current PieceCount</t>
  </si>
  <si>
    <t>FAT-TRIM-040</t>
  </si>
  <si>
    <t>Computed count differs from the LOT's current PieceCount</t>
  </si>
  <si>
    <t>Accept the new computed count</t>
  </si>
  <si>
    <t>LOT PieceCount is updated; the adjustment is recorded in LotAttributeChange with old value, new value, and user</t>
  </si>
  <si>
    <t>FAT-TRIM-050</t>
  </si>
  <si>
    <t>Choose to keep the existing count (or accept the change)</t>
  </si>
  <si>
    <t>Neither choice blocks production; the count change is logged, never rejected</t>
  </si>
  <si>
    <t>FRS 2.2.3 - MES takes no action if quantity changed</t>
  </si>
  <si>
    <t>FDS-06-006  —  Trim OUT (ProductionEvent + Whole-LOT Move to Machining)</t>
  </si>
  <si>
    <t>FAT-TRIM-060</t>
  </si>
  <si>
    <t>Trim OUT</t>
  </si>
  <si>
    <t>A LOT is checked in at this Trim shop</t>
  </si>
  <si>
    <t>Enter the LOT's shot count and trigger Trim OUT</t>
  </si>
  <si>
    <t>In one transaction a closing Workorder.ProductionEvent checkpoint is written and the WHOLE LOT is moved into this shop's local Trim Storage (TRIM{N}-STORE); the LOT stays open, no split, no child LOTs</t>
  </si>
  <si>
    <t>Destination picker retired 2026-07-23 - Trim OUT always deposits to the shop's local Trim Storage; Machining IN assigns the line later</t>
  </si>
  <si>
    <t>FAT-TRIM-070</t>
  </si>
  <si>
    <t>Recording Trim OUT with sprue/yield scrap</t>
  </si>
  <si>
    <t>Enter a scrap count and submit</t>
  </si>
  <si>
    <t>Scrap decrements the LOT: PieceCount is reduced by the scrap count so the LOT arrives in Trim Storage with its real remaining quantity</t>
  </si>
  <si>
    <t>FAT-TRIM-080</t>
  </si>
  <si>
    <t>A LOT with a known PieceCount</t>
  </si>
  <si>
    <t>Enter shot + scrap counts whose combined sum exceeds the LOT's PieceCount and submit</t>
  </si>
  <si>
    <t>System rejects with a clear message - combined shot+scrap can never exceed PieceCount</t>
  </si>
  <si>
    <t>FAT-TRIM-090</t>
  </si>
  <si>
    <t>A LOT already Trim-OUT'd (now in Trim Storage)</t>
  </si>
  <si>
    <t>Attempt a second Trim OUT of the same LOT from the Trim station</t>
  </si>
  <si>
    <t>System rejects - the LOT is no longer at this Trim station (double-checkout block)</t>
  </si>
  <si>
    <t>FDS-05-022  —  Sublot Pattern (Machining)</t>
  </si>
  <si>
    <t>Machining OUT consume-mint</t>
  </si>
  <si>
    <t>A machined line has open Good castings at its cell and a published SubAssembly BOM consuming that casting</t>
  </si>
  <si>
    <t>Trigger Machining OUT for a piece count and scan a fresh LTT</t>
  </si>
  <si>
    <t>A new SubAssembly part-number LOT is minted (its own PieceCount, status, location) carrying a genealogy edge back to the source casting</t>
  </si>
  <si>
    <t>Machining OUT is a consume-MINT (Workorder.MachiningOut_Mint), not a rename and not a plain same-part split</t>
  </si>
  <si>
    <t>FDS-05-009  —  Machining OUT Sub-LOT Extraction Workflow (Extract-One / Partial-Remainder)      (FRS 2.1.4, 2.2.5, 3.9.12)</t>
  </si>
  <si>
    <t>FAT-MACH-020</t>
  </si>
  <si>
    <t>Multiple open same-part castings sit at the cell with different arrival times</t>
  </si>
  <si>
    <t>Mint a SubAssembly for a quantity spanning more than one casting</t>
  </si>
  <si>
    <t>Consumption is strict oldest-first (FIFO arrival order) across all open same-part castings at the cell, rolling into the next as each empties; no casting is driven negative</t>
  </si>
  <si>
    <t>FAT-MACH-030</t>
  </si>
  <si>
    <t>A mint consumes two source castings</t>
  </si>
  <si>
    <t>Complete the mint and inspect genealogy</t>
  </si>
  <si>
    <t>One ConsumptionEvent + Consumption genealogy edge + closure row is written per source casting (multi-parent traceability); minted LOT is named &lt;oldest-casting-LTT&gt;-NN</t>
  </si>
  <si>
    <t>FAT-MACH-040</t>
  </si>
  <si>
    <t>The source casting is a child line on line-eligible published SubAssembly BOM(s)</t>
  </si>
  <si>
    <t>Trigger the mint without specifying a produced part</t>
  </si>
  <si>
    <t>The produced SubAssembly part is auto-derived via BOM child-&gt;parent + line eligibility; if more than one producible part matches, the mint is rejected until a ProducedItemId is specified</t>
  </si>
  <si>
    <t>FDS-05-010  —  Partial-Remainder Handling</t>
  </si>
  <si>
    <t>FAT-MACH-050</t>
  </si>
  <si>
    <t>Partial-remainder handling</t>
  </si>
  <si>
    <t>Requested mint exceeds producible pieces from available castings; partial not allowed</t>
  </si>
  <si>
    <t>Request a mint larger than can be produced</t>
  </si>
  <si>
    <t>Mint is rejected and the system reports Available = the maximum producible quantity</t>
  </si>
  <si>
    <t>FAT-MACH-060</t>
  </si>
  <si>
    <t>Requested mint exceeds producible pieces; partial allowed</t>
  </si>
  <si>
    <t>Request the oversized mint with partial allowed</t>
  </si>
  <si>
    <t>System mints floor(totalAvailable / QtyPer); the un-consumed balance stays on the open source castings for a later draw</t>
  </si>
  <si>
    <t>FDS-05-011  —  Split Genealogy Permanence</t>
  </si>
  <si>
    <t>Genealogy permanence</t>
  </si>
  <si>
    <t>A minted SubAssembly LOT with a recorded consume-mint</t>
  </si>
  <si>
    <t>Open the genealogy view and trace both directions</t>
  </si>
  <si>
    <t>Minted LOT -&gt; source castings and casting -&gt; minted children are both queryable; the genealogy edge + closure are permanent and immutable</t>
  </si>
  <si>
    <t>Machining OUT edges are Consumption (RelationshipTypeId=3), not Split, in the current consume-mint model</t>
  </si>
  <si>
    <t>FDS-05-033  —  Trim → Machining Rename via 1-Line BOM</t>
  </si>
  <si>
    <t>Machining IN FIFO claim</t>
  </si>
  <si>
    <t>A trimmed LOT sits in local Trim Storage and is eligible for this line</t>
  </si>
  <si>
    <t>Pick/claim the LOT at Machining IN</t>
  </si>
  <si>
    <t>The SAME LOT is claimed onto the line and a MachiningIn checkpoint ProductionEvent is recorded; the LOT keeps its identity, item, status and piece count - NO new LOT, NO ConsumptionEvent, NO rename at IN</t>
  </si>
  <si>
    <t>Trim-&gt;Machining rename-via-1-line-BOM is RETIRED; identity change now happens at the Machining OUT mint (FDS-05-009). FDS-05-033 title is stale.</t>
  </si>
  <si>
    <t>FDS-06-007  —  Machining IN (FIFO Pick + Trim → Machining Rename)      (FRS 2.2.4)</t>
  </si>
  <si>
    <t>FAT-MACH-090</t>
  </si>
  <si>
    <t>Trimmed LOTs deposited in this shop's Trim Storage</t>
  </si>
  <si>
    <t>Inspect the line's Machining IN queue</t>
  </si>
  <si>
    <t>Queue surfaces the Trim-Storage LOTs eligible for this line, ordered FIFO by arrival (LotMovement.MovedAt)</t>
  </si>
  <si>
    <t>FAT-MACH-100</t>
  </si>
  <si>
    <t>An eligible LOT shows in the Machining IN queue</t>
  </si>
  <si>
    <t>Claim the next LOT to this line</t>
  </si>
  <si>
    <t>In one transaction the whole LOT is moved Trim Storage -&gt; line and a MachiningIn checkpoint is written; the LOT then drops off every other line's queue</t>
  </si>
  <si>
    <t>FAT-MACH-110</t>
  </si>
  <si>
    <t>Two lines see the same Trim-Storage LOT and another line claims it first</t>
  </si>
  <si>
    <t>Attempt to claim the already-claimed LOT</t>
  </si>
  <si>
    <t>Claim is rejected cleanly (LOT was just claimed by another line); no checkpoint written</t>
  </si>
  <si>
    <t>FAT-MACH-120</t>
  </si>
  <si>
    <t>A Trim-Storage LOT whose part is NOT eligible at this line</t>
  </si>
  <si>
    <t>Attempt to claim it to this line</t>
  </si>
  <si>
    <t>Claim is rejected - the part is not eligible at this line (authoritative server-side gate)</t>
  </si>
  <si>
    <t>FDS-06-008  —  Machining OUT (Sub-LOT Split on Sublotting Lines, else Auto-Move to Coupled Assembly Cell)      (FRS 2.2.5)</t>
  </si>
  <si>
    <t>Machining OUT branch</t>
  </si>
  <si>
    <t>A machining line configured to mint a SubAssembly</t>
  </si>
  <si>
    <t>Trigger Machining OUT for the line</t>
  </si>
  <si>
    <t>Machining OUT mints the SubAssembly via route-driven consume-mint; mints are line-resident</t>
  </si>
  <si>
    <t>FDS-06-008 title mentions auto-move to a coupled assembly cell — that cell-coupling mechanism is RETIRED; no cell-&gt;cell auto-move</t>
  </si>
  <si>
    <t>FDS-06-009  —  Machining Production Event</t>
  </si>
  <si>
    <t>FAT-MACH-130</t>
  </si>
  <si>
    <t>Machining production event</t>
  </si>
  <si>
    <t>A LOT in process at a machining line</t>
  </si>
  <si>
    <t>Record a machining production event (submit counters)</t>
  </si>
  <si>
    <t>A Workorder.ProductionEvent checkpoint is written against the LOT with cumulative counters, operator, terminal and timestamp</t>
  </si>
  <si>
    <t>FAT-MACH-140</t>
  </si>
  <si>
    <t>Recording a machining event with rejects</t>
  </si>
  <si>
    <t>Enter one or more defect codes with reject quantities and submit</t>
  </si>
  <si>
    <t>A RejectEvent row is written for each defect code used</t>
  </si>
  <si>
    <t>FDS-06-022  —  Work Order Auto-Generation (Production Type)      (FRS 3.1.5)   [MVP-LITE]</t>
  </si>
  <si>
    <t>Work orders (background)</t>
  </si>
  <si>
    <t>Machining screen open</t>
  </si>
  <si>
    <t>Look for any operator-facing Work Order create/select/login on the machining screen</t>
  </si>
  <si>
    <t>None present - Production work orders are auto-generated background bookkeeping, invisible to operators</t>
  </si>
  <si>
    <t>conditional / background - MVP-LITE</t>
  </si>
  <si>
    <t>FDS-06-023  —  Work Order Structure   [MVP-LITE]</t>
  </si>
  <si>
    <t>Database access to the Workorder schema</t>
  </si>
  <si>
    <t>Inspect the Workorder.WorkOrder table structure</t>
  </si>
  <si>
    <t>Schema carries WorkOrderType, ItemId, RouteTemplateId, ToolId (nullable), WorkOrderStatus; work-order operations track per route step</t>
  </si>
  <si>
    <t>conditional / schema-only</t>
  </si>
  <si>
    <t>FDS-06-024  —  Work Order Independence from Evidence   [MVP-LITE]</t>
  </si>
  <si>
    <t>A LOT processed through machining with no work order</t>
  </si>
  <si>
    <t>Record production/consumption/reject evidence and inspect the rows</t>
  </si>
  <si>
    <t>ProductionEvent / ConsumptionEvent / RejectEvent are written with WorkOrderOperationId NULL - the evidence layer functions standalone</t>
  </si>
  <si>
    <t>conditional / background</t>
  </si>
  <si>
    <t>FDS-06-025  —  WorkOrderType Code Table   [MVP-LITE]</t>
  </si>
  <si>
    <t>Fresh migrated database</t>
  </si>
  <si>
    <t>Query Workorder.WorkOrderType</t>
  </si>
  <si>
    <t>Exactly one active row is seeded: Production; Demand and Maintenance are FUTURE and NOT seeded</t>
  </si>
  <si>
    <t>conditional</t>
  </si>
  <si>
    <t>FDS-06-026  —  Future Maintenance-Engine Schema Hooks   [FUTURE]</t>
  </si>
  <si>
    <t>FDS-06-030  —  WorkOrder BIT-Flag Enumeration</t>
  </si>
  <si>
    <t>Database access to Workorder.WorkOrder</t>
  </si>
  <si>
    <t>Inspect the shipped columns against the live-flag decision</t>
  </si>
  <si>
    <t>Only Flexware flags confirmed live with MPP ship as columns; dead flags are absent</t>
  </si>
  <si>
    <t>conditional - Phase 0 live-vs-dead confirmation</t>
  </si>
  <si>
    <t>FDS-06-010  —  Serialized Assembly (PLC-Integrated)</t>
  </si>
  <si>
    <t>FAT-ASM-010</t>
  </si>
  <si>
    <t>Serialized assembly part cycle</t>
  </si>
  <si>
    <t>Serialized line with a MIP-integrated PLC; an open container/tray and an identified source LOT</t>
  </si>
  <si>
    <t>Run one part cycle: PLC asserts DataReady, MES reads PartSN</t>
  </si>
  <si>
    <t>MES validates the serial (not duplicate, format valid, source LOT not on hold), writes PartValid=1, mints a SerializedPart, places it in the tray as a ContainerSerial, decrements the source LOT per BOM, and writes a Consumption genealogy edge</t>
  </si>
  <si>
    <t>PLC commissioning / simulator</t>
  </si>
  <si>
    <t>FAT-ASM-020</t>
  </si>
  <si>
    <t>A serial number already recorded in the system</t>
  </si>
  <si>
    <t>Present a duplicate (or bad-format) PartSN on the next cycle</t>
  </si>
  <si>
    <t>MES writes PartValid=0 back to the PLC and rejects the part; no SerializedPart / ConsumptionEvent is written</t>
  </si>
  <si>
    <t>FAT-ASM-030</t>
  </si>
  <si>
    <t>Serialized tray completion</t>
  </si>
  <si>
    <t>A serialized tray filled to its configured part count</t>
  </si>
  <si>
    <t>Complete the serialized tray</t>
  </si>
  <si>
    <t>A finished-good LOT is minted (tray = LOT); every SerializedPart for the tray sets ProducingLotId to that LOT and each ConsumptionEvent targets it via ProducedLotId; ContainerSerial still pins each serial to its tray</t>
  </si>
  <si>
    <t>FDS-06-011  —  Serialized Assembly Material Identification      (FRS 3.10.6)</t>
  </si>
  <si>
    <t>FAT-ASM-040</t>
  </si>
  <si>
    <t>Serialized material identification</t>
  </si>
  <si>
    <t>Operation template has RequiresMaterialVerification = true; a GOOD source LOT that is a BOM component</t>
  </si>
  <si>
    <t>Scan the source LOT's LTT barcode before production</t>
  </si>
  <si>
    <t>BOM-based verification passes — item matches an active-BOM component, status GOOD, sufficient pieces — and the LOT is accepted as a consumption source</t>
  </si>
  <si>
    <t>FAT-ASM-050</t>
  </si>
  <si>
    <t>A LOT whose item is NOT in the active BOM</t>
  </si>
  <si>
    <t>Scan the wrong-part LOT</t>
  </si>
  <si>
    <t>System rejects the material with a clear wrong-part error and does not record consumption</t>
  </si>
  <si>
    <t>FAT-ASM-060</t>
  </si>
  <si>
    <t>BOM substitute override</t>
  </si>
  <si>
    <t>A wrong-part scan blocked by the strict BOM check</t>
  </si>
  <si>
    <t>A supervisor authorizes a one-shot BOM-substitute override via AD elevation</t>
  </si>
  <si>
    <t>The scanned LOT is accepted despite the BOM mismatch; an Audit.OperationLog row captures the original BOM expectation, substitute, operator, supervisor, terminal, and timestamp</t>
  </si>
  <si>
    <t>FDS-06-012  —  Hardware Interlock Bypass</t>
  </si>
  <si>
    <t>Hardware interlock bypass</t>
  </si>
  <si>
    <t>Automation sets HardwareInterlockEnable=false</t>
  </si>
  <si>
    <t>Run a part cycle in bypass mode</t>
  </si>
  <si>
    <t>MES accepts PartSN=NoRead, still records the production/serial, flags the NoRead for quality review, sets ContainerSerial.HardwareInterlockBypassed=1, and does NOT block production</t>
  </si>
  <si>
    <t>FDS-06-013  —  Non-Serialized Assembly (Mint Finished-Good LOT; Tray = LOT)</t>
  </si>
  <si>
    <t>FAT-ASM-080</t>
  </si>
  <si>
    <t>Non-serialized tray = LOT mint</t>
  </si>
  <si>
    <t>Non-serialized assembly cell; FG item eligible; component stock staged at the line</t>
  </si>
  <si>
    <t>Select the FG item from the eligibility dropdown and complete a tray</t>
  </si>
  <si>
    <t>A finished-good LOT is minted (origin Manufactured, at the cell) whose PieceCount equals the closure-determined count; the tray references that LOT</t>
  </si>
  <si>
    <t>FAT-ASM-090</t>
  </si>
  <si>
    <t>Non-serialized BOM consumption</t>
  </si>
  <si>
    <t>A minted FG tray with multiple component LOTs staged</t>
  </si>
  <si>
    <t>Inspect the component draw after tray completion</t>
  </si>
  <si>
    <t>BOM components are consumed FIFO oldest-first by CreatedAt into the FG LOT; source LOTs are decremented (and closed at zero); a Consumption edge links each source to the FG LOT</t>
  </si>
  <si>
    <t>FAT-ASM-100</t>
  </si>
  <si>
    <t>Non-serialized insufficient stock</t>
  </si>
  <si>
    <t>A tray whose BOM needs more component pieces than are staged</t>
  </si>
  <si>
    <t>Attempt to complete the tray</t>
  </si>
  <si>
    <t>System refuses and names the short component(s) with need-vs-have (e.g. PartNumber (need X, have Y)); no FG LOT is minted</t>
  </si>
  <si>
    <t>FDS-06-014  —  Tray Validation + Container Accumulation</t>
  </si>
  <si>
    <t>FAT-ASM-110</t>
  </si>
  <si>
    <t>Tray validation</t>
  </si>
  <si>
    <t>A ByCount container config with a defined PartsPerTray</t>
  </si>
  <si>
    <t>Complete a tray whose parts count does not match PartsPerTray</t>
  </si>
  <si>
    <t>System rejects the tray with a count-mismatch message; a matching count is required to close</t>
  </si>
  <si>
    <t>FAT-ASM-120</t>
  </si>
  <si>
    <t>Container accumulation</t>
  </si>
  <si>
    <t>An open container being filled tray by tray</t>
  </si>
  <si>
    <t>Complete successive trays and watch the container running count</t>
  </si>
  <si>
    <t>Each completed tray increments the container by PartsPerTray; the container reports FULL when accumulation reaches TraysPerContainer x PartsPerTray</t>
  </si>
  <si>
    <t>FAT-ASM-130</t>
  </si>
  <si>
    <t>Over-fill tray guard</t>
  </si>
  <si>
    <t>An open container already at its full target</t>
  </si>
  <si>
    <t>Attempt to complete another tray onto it</t>
  </si>
  <si>
    <t>System refuses the tray and prompts to Complete/ship the full container before starting a new tray</t>
  </si>
  <si>
    <t>FDS-06-020  —  Consumption Tracking</t>
  </si>
  <si>
    <t>Consumption tracking</t>
  </si>
  <si>
    <t>A completed non-serialized tray</t>
  </si>
  <si>
    <t>Inspect the ConsumptionEvent rows written for the tray</t>
  </si>
  <si>
    <t>Each event is immutable and records source LOT, ProducedLotId = the FG LOT, consumed item, produced item, piece count, location, operator, terminal, tray, and timestamp</t>
  </si>
  <si>
    <t>FDS-06-021  —  Consumption Genealogy      (FRS 3.13.2)</t>
  </si>
  <si>
    <t>Consumption genealogy</t>
  </si>
  <si>
    <t>A finished-good LOT minted from assembly</t>
  </si>
  <si>
    <t>Open the genealogy for the FG LOT</t>
  </si>
  <si>
    <t>A Consumption genealogy edge + closure links the FG LOT back to every component LOT consumed (shape Container -&gt; Tray -&gt; FG LOT -&gt; component LOTs); Honda trace resolves through the closure table</t>
  </si>
  <si>
    <t>FDS-06-028  —  Auto-Finish on Target (Camera / Scale)</t>
  </si>
  <si>
    <t>FAT-ASM-160</t>
  </si>
  <si>
    <t>Completion confirm gate</t>
  </si>
  <si>
    <t>A terminal with RequiresCompletionConfirm set</t>
  </si>
  <si>
    <t>Complete a full container at that terminal without confirming</t>
  </si>
  <si>
    <t>Container_Complete refuses until the operator presses the large Confirm Completion gesture; a terminal without the attribute proceeds with a passive popup</t>
  </si>
  <si>
    <t>FAT-ASM-170</t>
  </si>
  <si>
    <t>Auto-finish on target</t>
  </si>
  <si>
    <t>A WO configured for camera-count (or scale-weight) auto-finish</t>
  </si>
  <si>
    <t>Drive cumulative good count (or weight) to the target with the PLC CompletionConfirmed BIT asserted</t>
  </si>
  <si>
    <t>WO auto-closes only when BOTH the count/weight crossing AND the PLC CompletionConfirmed BIT are true; the crossing alone does not close</t>
  </si>
  <si>
    <t>WO subsystem CONDITIONAL; PLC commissioning / simulator</t>
  </si>
  <si>
    <t>FDS-06-029  —  Tray-Divisibility Validation on WO Close</t>
  </si>
  <si>
    <t>Tray-divisibility on WO close</t>
  </si>
  <si>
    <t>A WO whose cumulative good count is not evenly divisible by PartsPerTray</t>
  </si>
  <si>
    <t>Attempt to close the WO</t>
  </si>
  <si>
    <t>Close is blocked with "Work order target quantity exceeded. Ensure target quantity is evenly divisible by the tray quantity"; supervisor AD elevation overrides (reason logged)</t>
  </si>
  <si>
    <t>WO subsystem CONDITIONAL</t>
  </si>
  <si>
    <t>FDS-07-001  —  Container Creation</t>
  </si>
  <si>
    <t>Container creation</t>
  </si>
  <si>
    <t>An assembly cell with no open container for the FG item</t>
  </si>
  <si>
    <t>Complete the first tray (non-serialized) or place the first serialized part</t>
  </si>
  <si>
    <t>A Container is created automatically (assigned config, Open status) and begins filling</t>
  </si>
  <si>
    <t>FDS-07-002  —  Container Status Codes</t>
  </si>
  <si>
    <t>Container status codes</t>
  </si>
  <si>
    <t>A container progressing through its lifecycle</t>
  </si>
  <si>
    <t>Complete then ship a container; separately place one on hold / void one</t>
  </si>
  <si>
    <t>Status is driven by ContainerStatusCode: Open -&gt; Complete -&gt; Shipped, with Hold and Void available for quality disposition</t>
  </si>
  <si>
    <t>FDS-07-003  —  Container Filling — Serialized Lines</t>
  </si>
  <si>
    <t>Serialized container filling</t>
  </si>
  <si>
    <t>A serialized line with an open container</t>
  </si>
  <si>
    <t>Place serialized parts through successive tray positions</t>
  </si>
  <si>
    <t>Each part creates a ContainerSerial (container, tray, serial, position); the tray count advances at PartsPerTray and the container closes at TraysPerContainer</t>
  </si>
  <si>
    <t>FDS-07-004  —  Container Filling — Non-Serialized Lines</t>
  </si>
  <si>
    <t>Non-serialized container filling</t>
  </si>
  <si>
    <t>A non-serialized line packing a container</t>
  </si>
  <si>
    <t>Fill and close trays until the container reaches capacity</t>
  </si>
  <si>
    <t>ContainerTray rows are created as trays close and the container closes when configured capacity is reached</t>
  </si>
  <si>
    <t>FDS-07-005  —  Container Closure</t>
  </si>
  <si>
    <t>FAT-ASM-230</t>
  </si>
  <si>
    <t>Container closure</t>
  </si>
  <si>
    <t>A full open container with an available AIM shipper ID in the pool</t>
  </si>
  <si>
    <t>Complete the container</t>
  </si>
  <si>
    <t>In one atomic local-DB transaction the container flips to Complete, claims the next FIFO AIM shipper ID, stores it on the container, and inserts a ShippingLabel row — no in-between state without an AIM ID</t>
  </si>
  <si>
    <t>FAT-ASM-240</t>
  </si>
  <si>
    <t>Over-target close guard</t>
  </si>
  <si>
    <t>A container whose accumulated parts exceed the configured target</t>
  </si>
  <si>
    <t>Attempt to complete the over-filled container</t>
  </si>
  <si>
    <t>System refuses with a data-integrity error and leaves the container Open for remediation (never ships an over-target container under one AIM ID)</t>
  </si>
  <si>
    <t>FDS-05-005  —  Received LOT Creation (Pass-Through Parts)      (FRS 2.1.1, 2.1.12)</t>
  </si>
  <si>
    <t>FAT-INSP-010</t>
  </si>
  <si>
    <t>Received LOT creation</t>
  </si>
  <si>
    <t>Receiving Dock terminal; a vendor pass-through part</t>
  </si>
  <si>
    <t>Create a received LOT for the incoming vendor material</t>
  </si>
  <si>
    <t>A LOT is created with origin Received, recording the vendor lot number and piece count</t>
  </si>
  <si>
    <t>FAT-INSP-020</t>
  </si>
  <si>
    <t>Received LOT label</t>
  </si>
  <si>
    <t>A just-created received LOT</t>
  </si>
  <si>
    <t>Observe the LTT label print</t>
  </si>
  <si>
    <t>An LTT label prints via the dock's Zebra with print reason Initial (no pre-printed tag exists for vendor material)</t>
  </si>
  <si>
    <t>Zebra simulated in dev</t>
  </si>
  <si>
    <t>FDS-05-006  —  Off-Site Received LOT Creation</t>
  </si>
  <si>
    <t>Off-site received LOT</t>
  </si>
  <si>
    <t>The same Perspective app reached remotely (VPN / published gateway)</t>
  </si>
  <si>
    <t>Create a received LOT at an off-site inventory location</t>
  </si>
  <si>
    <t>The workflow is identical to on-site receiving except origin = ReceivedOffsite and the location is the off-site inventory location</t>
  </si>
  <si>
    <t>FAT-INSP-040</t>
  </si>
  <si>
    <t>Third-party inspection check-in</t>
  </si>
  <si>
    <t>A third-party inspection terminal</t>
  </si>
  <si>
    <t>Use the Check In tab to receive a vendor LOT into the inspection queue</t>
  </si>
  <si>
    <t>The Check In tab (embedded Receiving Dock) creates the received LOT and it appears in the Inspect-tab queue for the station</t>
  </si>
  <si>
    <t>BRA — third-party inspection station wiring</t>
  </si>
  <si>
    <t>FDS-05-013  —  Status Codes      (FRS 3.16.3)</t>
  </si>
  <si>
    <t>FAT-QH-010</t>
  </si>
  <si>
    <t>LOT status codes</t>
  </si>
  <si>
    <t>System seeded</t>
  </si>
  <si>
    <t>Review the seeded LotStatusCode values</t>
  </si>
  <si>
    <t>Good, Hold, Scrap, Closed, and Open are all present with the correct Name and Description</t>
  </si>
  <si>
    <t>FAT-QH-020</t>
  </si>
  <si>
    <t>Inspect the BlocksProduction flag on each status</t>
  </si>
  <si>
    <t>Hold / Scrap / Closed block production; Good and Open do not (Open is the die-cast accumulator state)</t>
  </si>
  <si>
    <t>FDS-05-014  —  Status Transition Rules</t>
  </si>
  <si>
    <t>FAT-QH-030</t>
  </si>
  <si>
    <t>Status transition rules</t>
  </si>
  <si>
    <t>A Good LOT fully consumed/split</t>
  </si>
  <si>
    <t>Close the LOT (Good to Closed)</t>
  </si>
  <si>
    <t>Transition is permitted and a LotStatusHistory row is written; Good to Closed is the enabled status-change path</t>
  </si>
  <si>
    <t>FAT-QH-040</t>
  </si>
  <si>
    <t>A Good LOT</t>
  </si>
  <si>
    <t>Attempt a disallowed direct status change (e.g. Good to Scrap)</t>
  </si>
  <si>
    <t>System rejects the transition with a clear message</t>
  </si>
  <si>
    <t>Lot_UpdateStatus enables only Good to Closed; Hold transitions run through the hold workflow (place/release), Open to Good/Scrap only via die-cast Release/Void. Direct Good to Scrap / Hold to Scrap / Hold to Closed are not wired in the status-change proc.</t>
  </si>
  <si>
    <t>FDS-05-015  —  Status History      (FRS 3.16.4)</t>
  </si>
  <si>
    <t>Status history</t>
  </si>
  <si>
    <t>A LOT that has changed status</t>
  </si>
  <si>
    <t>Open the LOT detail / history</t>
  </si>
  <si>
    <t>Each transition shows old status, new status, reason, changed-by user, terminal, and timestamp in Eastern time</t>
  </si>
  <si>
    <t>FDS-07-015  —  Container Hold</t>
  </si>
  <si>
    <t>FAT-QH-060</t>
  </si>
  <si>
    <t>Container hold</t>
  </si>
  <si>
    <t>A container in Complete status</t>
  </si>
  <si>
    <t>Place a hold on the container from Hold Management</t>
  </si>
  <si>
    <t>Container status flips to HOLD and a HoldEvent is recorded</t>
  </si>
  <si>
    <t>AIM PlaceOnHold is a Gateway-async step</t>
  </si>
  <si>
    <t>FAT-QH-070</t>
  </si>
  <si>
    <t>A held container</t>
  </si>
  <si>
    <t>Attempt to load/ship the held container at the Shipping Dock</t>
  </si>
  <si>
    <t>System refuses to ship a held container</t>
  </si>
  <si>
    <t>FDS-07-016  —  Container Hold Release</t>
  </si>
  <si>
    <t>Container hold release</t>
  </si>
  <si>
    <t>Release the container hold</t>
  </si>
  <si>
    <t>Container returns to its pre-hold status (Complete) and is eligible for shipping again</t>
  </si>
  <si>
    <t>AIM ReleaseFromHold is a Gateway-async step</t>
  </si>
  <si>
    <t>FDS-08-001  —  Hold Placement      (FRS 3.16.10)</t>
  </si>
  <si>
    <t>FAT-QH-090</t>
  </si>
  <si>
    <t>Place LOT hold</t>
  </si>
  <si>
    <t>A Good LOT; Hold Management screen open</t>
  </si>
  <si>
    <t>Place a hold selecting a hold type and reason</t>
  </si>
  <si>
    <t>A HoldEvent records LOT, hold type, reason, placed-by user, and timestamp; LOT status transitions to Hold</t>
  </si>
  <si>
    <t>Hold types include Quality / Customer_Complaint / Precautionary</t>
  </si>
  <si>
    <t>FAT-QH-100</t>
  </si>
  <si>
    <t>A LOT already on an open hold</t>
  </si>
  <si>
    <t>Attempt to place a second hold on the same LOT</t>
  </si>
  <si>
    <t>System rejects — only one open hold per LOT is allowed</t>
  </si>
  <si>
    <t>FDS-08-002  —  Hold Effect      (FRS 3.16.10)</t>
  </si>
  <si>
    <t>Hold effect</t>
  </si>
  <si>
    <t>A LOT placed on Hold</t>
  </si>
  <si>
    <t>Attempt to consume or advance the held LOT at a workstation</t>
  </si>
  <si>
    <t>Operation is rejected with a clear message; the BlocksProduction guard prevents production against a held LOT</t>
  </si>
  <si>
    <t>Universal Lot_AssertNotBlocked guard</t>
  </si>
  <si>
    <t>FDS-08-003  —  Hold Release      (FRS 3.16.11)</t>
  </si>
  <si>
    <t>Hold release</t>
  </si>
  <si>
    <t>A LOT on Hold</t>
  </si>
  <si>
    <t>Release the hold with release remarks</t>
  </si>
  <si>
    <t>Hold records released-by user, released-at timestamp, and remarks; LOT status returns to its prior status (Good)</t>
  </si>
  <si>
    <t>FDS-08-004  —  Hold Without NCM      (FRS 2.1.8)</t>
  </si>
  <si>
    <t>Hold without NCM</t>
  </si>
  <si>
    <t>A LOT to hold precautionarily</t>
  </si>
  <si>
    <t>Place a Precautionary hold with no non-conformance record</t>
  </si>
  <si>
    <t>Hold is accepted with no NCM required (NonConformanceId is nullable)</t>
  </si>
  <si>
    <t>FDS-08-005  —  Partial Disposition via Split</t>
  </si>
  <si>
    <t>Partial disposition via split</t>
  </si>
  <si>
    <t>A held LOT where only some parts are suspect</t>
  </si>
  <si>
    <t>Split the held LOT to isolate the suspect parts</t>
  </si>
  <si>
    <t>Suspect child LOT can be scrapped while the remainder is released; the split is permanently recorded in genealogy</t>
  </si>
  <si>
    <t>MVP mechanism for partial quality disposition</t>
  </si>
  <si>
    <t>FDS-08-006  —  Bulk Hold      (FRS 3.16.10)</t>
  </si>
  <si>
    <t>Bulk hold</t>
  </si>
  <si>
    <t>Multiple candidate LOTs exist</t>
  </si>
  <si>
    <t>Search by criteria (part number, die, cavity, date range, location) and place a hold on several LOTs at once</t>
  </si>
  <si>
    <t>Each selected LOT receives its own HoldEvent and transitions to Hold in a single action</t>
  </si>
  <si>
    <t>FDS-08-007  —  Container Hold Integration</t>
  </si>
  <si>
    <t>Container hold integration</t>
  </si>
  <si>
    <t>A LOT that is the source of a completed container</t>
  </si>
  <si>
    <t>Place a hold on that source LOT</t>
  </si>
  <si>
    <t>System alerts that associated containers exist and may also need to be held</t>
  </si>
  <si>
    <t>SHOULD-level advisory alert</t>
  </si>
  <si>
    <t>FDS-08-011  —  Inspection Recording</t>
  </si>
  <si>
    <t>FAT-QH-180</t>
  </si>
  <si>
    <t>Inspection recording</t>
  </si>
  <si>
    <t>Inspection Entry screen; an item with a published quality spec</t>
  </si>
  <si>
    <t>Scan/resolve a LOT</t>
  </si>
  <si>
    <t>The active published QualitySpec loads and its attributes render as an input repeater</t>
  </si>
  <si>
    <t>Standalone InspectionEntry view</t>
  </si>
  <si>
    <t>FAT-QH-190</t>
  </si>
  <si>
    <t>Attribute form rendered for a LOT</t>
  </si>
  <si>
    <t>Enter measured values and record the sample</t>
  </si>
  <si>
    <t>A QualitySample header plus one QualityResult per attribute is written; overall Pass/Fail is auto-computed from limits and audited</t>
  </si>
  <si>
    <t>FAT-QH-200</t>
  </si>
  <si>
    <t>Record an inspection against the held LOT</t>
  </si>
  <si>
    <t>Inspection is allowed against a LOT in any status including Hold</t>
  </si>
  <si>
    <t>FDS-08-012  —  Failed Inspection Handling</t>
  </si>
  <si>
    <t>FAT-QH-210</t>
  </si>
  <si>
    <t>Failed inspection handling</t>
  </si>
  <si>
    <t>A LOT whose measured value is out of limits</t>
  </si>
  <si>
    <t>Record the inspection</t>
  </si>
  <si>
    <t>Overall result is Fail and the inspector is alerted; the system does NOT automatically place a hold</t>
  </si>
  <si>
    <t>Human judgment preserved</t>
  </si>
  <si>
    <t>FAT-QH-220</t>
  </si>
  <si>
    <t>A just-recorded Fail result</t>
  </si>
  <si>
    <t>Use the one-tap Place Hold affordance</t>
  </si>
  <si>
    <t>A Quality hold is placed on the LOT from the inspection screen</t>
  </si>
  <si>
    <t>BRA affordance on InspectionEntry</t>
  </si>
  <si>
    <t>FDS-08-013  —  Quality Attachments</t>
  </si>
  <si>
    <t>Quality attachments</t>
  </si>
  <si>
    <t>A recorded quality sample</t>
  </si>
  <si>
    <t>Attach a file (PDF/PNG/XLSX/CSV) to the sample</t>
  </si>
  <si>
    <t>Attachment metadata (file name, type, path, uploaded-at, uploaded-by) is stored in QualityAttachment</t>
  </si>
  <si>
    <t>Backend built (QualityAttachment_Add/ListBySample procs + NQs + entity script); capture UI limited — no file-upload component wired into InspectionEntry yet</t>
  </si>
  <si>
    <t>FDS-08-014  —  Sample Triggers   [CONDITIONAL]</t>
  </si>
  <si>
    <t>Sample triggers</t>
  </si>
  <si>
    <t>Inspection Entry screen</t>
  </si>
  <si>
    <t>Select a sample trigger (SHIFT_START / DIE_CHANGE / TOOL_CHANGE / etc.) when recording</t>
  </si>
  <si>
    <t>The chosen trigger is captured on the QualitySample record</t>
  </si>
  <si>
    <t>CONDITIONAL — sampling workflows</t>
  </si>
  <si>
    <t>FDS-08-015  —  Sample Results as Representative      (FRS 2.1.9)   [CONDITIONAL]</t>
  </si>
  <si>
    <t>Representative sample</t>
  </si>
  <si>
    <t>A LOT inspected with a passing sample</t>
  </si>
  <si>
    <t>Review the LOT after a passing then a failing sample</t>
  </si>
  <si>
    <t>A passing sample represents the whole LOT and it continues; a failing sample flags the LOT for quality review (no auto-hold)</t>
  </si>
  <si>
    <t>FDS-08-018  —  NCM Scope Boundary   [FUTURE]</t>
  </si>
  <si>
    <t>FAT-QH-110</t>
  </si>
  <si>
    <t>Hold elevation gate</t>
  </si>
  <si>
    <t>Logged in as an operator without elevation</t>
  </si>
  <si>
    <t>Attempt to place or release a hold</t>
  </si>
  <si>
    <t>Action requires AD elevation before it proceeds</t>
  </si>
  <si>
    <t>FDS-04-007 per-action elevation for Place/Release</t>
  </si>
  <si>
    <t>FDS-05-007  —  Movement Tracking      (FRS 3.9.8)</t>
  </si>
  <si>
    <t>FAT-MOVE-010</t>
  </si>
  <si>
    <t>Movement tracking</t>
  </si>
  <si>
    <t>A Good LOT at a known location</t>
  </si>
  <si>
    <t>Move the LOT to a new location</t>
  </si>
  <si>
    <t>An immutable LotMovement row records LOT, from-location, to-location, moved-by user, terminal, and timestamp; CurrentLocationId is updated</t>
  </si>
  <si>
    <t>FAT-MOVE-020</t>
  </si>
  <si>
    <t>A LOT that has been moved</t>
  </si>
  <si>
    <t>Open the LOT history</t>
  </si>
  <si>
    <t>The movement appears in the LOT history with the timestamp in Eastern time</t>
  </si>
  <si>
    <t>FDS-05-008  —  Movement Workflow</t>
  </si>
  <si>
    <t>FAT-MOVE-030</t>
  </si>
  <si>
    <t>Movement workflow</t>
  </si>
  <si>
    <t>A dedicated terminal with an operator presence established</t>
  </si>
  <si>
    <t>Scan a LOT on the Movement Scan screen and record the move</t>
  </si>
  <si>
    <t>Destination defaults to the terminal's parent location (read-only); LOT is looked up by LTT, validated not Closed, and the move is recorded and confirmed</t>
  </si>
  <si>
    <t>FAT-MOVE-040</t>
  </si>
  <si>
    <t>Movement validation</t>
  </si>
  <si>
    <t>A LOT whose item is not eligible at the chosen destination</t>
  </si>
  <si>
    <t>Attempt the validated move</t>
  </si>
  <si>
    <t>System rejects the move — the item must resolve at the destination (or an ancestor tier)</t>
  </si>
  <si>
    <t>Already-at-this-location is pre-checked and the Move action is disabled</t>
  </si>
  <si>
    <t>FAT-MOVE-050</t>
  </si>
  <si>
    <t>Forward-only move guard</t>
  </si>
  <si>
    <t>A LOT that has already advanced past an operation step</t>
  </si>
  <si>
    <t>Attempt to move it back to that earlier operation</t>
  </si>
  <si>
    <t>Backward move is blocked with a message; a supervisor-override affordance permits it when authorized</t>
  </si>
  <si>
    <t>Operation-aware forward-only guard</t>
  </si>
  <si>
    <t>FAT-MOVE-060</t>
  </si>
  <si>
    <t>A LOT on Hold or Closed</t>
  </si>
  <si>
    <t>Attempt to move the LOT</t>
  </si>
  <si>
    <t>System refuses to move a blocked or closed LOT</t>
  </si>
  <si>
    <t>FDS-05-037  —  LOT Close Semantics</t>
  </si>
  <si>
    <t>FAT-MOVE-070</t>
  </si>
  <si>
    <t>Complete and move</t>
  </si>
  <si>
    <t>A component LOT (Die Cast / Trim / intermediate Machining) ready to advance</t>
  </si>
  <si>
    <t>Use the combined Complete + Move action</t>
  </si>
  <si>
    <t>Status transition and movement happen in one atomic action; a partial basket is only Closed when the operator closes it</t>
  </si>
  <si>
    <t>FAT-MOVE-080</t>
  </si>
  <si>
    <t>Finished-goods close</t>
  </si>
  <si>
    <t>An assembly finished-goods LOT filling a shipping container</t>
  </si>
  <si>
    <t>The associated finished-goods LOT auto-closes as part of the Container Complete transaction</t>
  </si>
  <si>
    <t>FDS-05-032  —  Partial Start and Partial Complete</t>
  </si>
  <si>
    <t>FAT-MOVE-090</t>
  </si>
  <si>
    <t>Partial start and complete</t>
  </si>
  <si>
    <t>A LOT started with N pieces at a workstation</t>
  </si>
  <si>
    <t>Complete a partial quantity M (M less than or equal to N) later</t>
  </si>
  <si>
    <t>Start and Complete are independent operations with independent quantities, valid across shift boundaries</t>
  </si>
  <si>
    <t>Verify at MVP: current build records checkpoint/flexible-operator quantities on the FIFO consume path rather than separate Start/Complete fields — confirm against this requirement</t>
  </si>
  <si>
    <t>FAT-MOVE-100</t>
  </si>
  <si>
    <t>Start/Complete/Scrap events recorded for a LOT</t>
  </si>
  <si>
    <t>Review the derived in-process quantity</t>
  </si>
  <si>
    <t>In-process quantity is derived by event replay rather than a running atomic counter</t>
  </si>
  <si>
    <t>FDS-05-038  —  Pausable LOT at Workstation</t>
  </si>
  <si>
    <t>FAT-MOVE-110</t>
  </si>
  <si>
    <t>Pause LOT</t>
  </si>
  <si>
    <t>A partially-progressed LOT at a Cell</t>
  </si>
  <si>
    <t>Pause the LOT to work another LOT at the same Cell</t>
  </si>
  <si>
    <t>An open PauseEvent is written; the paused LOT keeps its partial state and the operator can run other LOTs at that Cell</t>
  </si>
  <si>
    <t>Pause is orthogonal to LOT status — no Paused status row</t>
  </si>
  <si>
    <t>FAT-MOVE-120</t>
  </si>
  <si>
    <t>Resume paused LOT</t>
  </si>
  <si>
    <t>A Cell with one or more open pauses</t>
  </si>
  <si>
    <t>Tap the Paused-LOT indicator and resume a LOT from the list</t>
  </si>
  <si>
    <t>Indicator shows the open-pause count; selecting and confirming resumes via LotPause_Resume and records ResumedByUserId (may differ from the pauser)</t>
  </si>
  <si>
    <t>No auto-prompt to resume; no TTL</t>
  </si>
  <si>
    <t>FAT-MOVE-130</t>
  </si>
  <si>
    <t>Pause guards</t>
  </si>
  <si>
    <t>A blocked LOT and a LOT already paused at a Cell</t>
  </si>
  <si>
    <t>Attempt to pause a held/closed LOT and to open a second pause at the same Cell</t>
  </si>
  <si>
    <t>Blocked/closed LOT cannot be paused; at most one open pause per (LOT, location) is enforced</t>
  </si>
  <si>
    <t>FDS-07-013  —  Shipping Validation</t>
  </si>
  <si>
    <t>FAT-MOVE-140</t>
  </si>
  <si>
    <t>Shipping validation</t>
  </si>
  <si>
    <t>A container with a shipping label at the Shipping Dock</t>
  </si>
  <si>
    <t>Scan the container's shipping label</t>
  </si>
  <si>
    <t>System validates the container is Complete (not Hold/Void/already Shipped) and the label is not void before loading</t>
  </si>
  <si>
    <t>FAT-MOVE-150</t>
  </si>
  <si>
    <t>A container that is on hold / void / not Complete</t>
  </si>
  <si>
    <t>Scan the label at the dock</t>
  </si>
  <si>
    <t>System prevents loading and displays the reason</t>
  </si>
  <si>
    <t>FDS-07-014  —  Ship Confirmation</t>
  </si>
  <si>
    <t>Ship confirmation</t>
  </si>
  <si>
    <t>A valid Complete container with a non-void label</t>
  </si>
  <si>
    <t>Confirm the ship</t>
  </si>
  <si>
    <t>Container status flips to Shipped, it moves to the shipping-out location, and the event is logged to Audit.OperationLog</t>
  </si>
  <si>
    <t>Container has no source LotId — traceability is the container's own location move + ContainerShipped audit, not a per-LOT LotMovement</t>
  </si>
  <si>
    <t>FDS-07-017  —  Sort Cage Workflow      (FRS 2.1.10, 2.2.7)</t>
  </si>
  <si>
    <t>FAT-MOVE-170</t>
  </si>
  <si>
    <t>Sort cage re-pack</t>
  </si>
  <si>
    <t>A held container of serialized parts sent to the Sort Cage</t>
  </si>
  <si>
    <t>Unpack and re-pack a good serialized part into a new open container</t>
  </si>
  <si>
    <t>ContainerSerial is updated to the new container/tray position (SortCage_MigrateSerial); the destination container must be Open</t>
  </si>
  <si>
    <t>FAT-MOVE-180</t>
  </si>
  <si>
    <t>Sort cage audit trail</t>
  </si>
  <si>
    <t>A serial migrated at the Sort Cage</t>
  </si>
  <si>
    <t>Review the migration record</t>
  </si>
  <si>
    <t>A ContainerSerialHistory row captures old/new container and tray position, migration reason, and migrated-by user</t>
  </si>
  <si>
    <t>FAT-MOVE-190</t>
  </si>
  <si>
    <t>Sort cage label/AIM side-effects</t>
  </si>
  <si>
    <t>A re-sort producing new LOTs and re-packed containers</t>
  </si>
  <si>
    <t>Verify the downstream label and AIM steps fire</t>
  </si>
  <si>
    <t>New LTT labels (reason SORT_CAGE), new shipping labels, voiding of old labels, and AIM UpdateAim for serial migrations occur</t>
  </si>
  <si>
    <t>Commissioning/partially-unwired: confirm which side-effects (new-LTT/label print, old-label void, AIM UpdateAim) are actually wired — the migrate-serial proc updates ContainerSerial only; label + AIM fan-out may be commissioning-time</t>
  </si>
  <si>
    <t>FDS-07-018  —  Sort Cage Scope Boundary</t>
  </si>
  <si>
    <t>Sort cage scope boundary</t>
  </si>
  <si>
    <t>A Sort Cage disposition</t>
  </si>
  <si>
    <t>Disposition good vs bad parts</t>
  </si>
  <si>
    <t>Disposition uses holds, splits, scrap, and re-pack; no formal NCM disposition codes or rework routing are surfaced (FUTURE)</t>
  </si>
  <si>
    <t>FDS-07-019  —  Sort Cage Is Not a LOT Merge Event</t>
  </si>
  <si>
    <t>FAT-MOVE-210</t>
  </si>
  <si>
    <t>Sort cage is not a merge</t>
  </si>
  <si>
    <t>A serialized part migrated from a held container into a new container</t>
  </si>
  <si>
    <t>Inspect genealogy after the migration</t>
  </si>
  <si>
    <t>No LotGenealogy merge record is created; SerializedPart.LotId still points to the original source LOT (traceability preserved through the serial)</t>
  </si>
  <si>
    <t>FAT-MOVE-220</t>
  </si>
  <si>
    <t>Sort cage scrap disposition</t>
  </si>
  <si>
    <t>A defective part identified during Sort Cage inspection</t>
  </si>
  <si>
    <t>Disposition the defective part</t>
  </si>
  <si>
    <t>Scrap follows the split-to-scrap workflow (a Split genealogy record), never a Merge record</t>
  </si>
  <si>
    <t>FDS-05-001  —  LOT Uniqueness      (FRS 3.9.6)</t>
  </si>
  <si>
    <t>FAT-TRC-010</t>
  </si>
  <si>
    <t>LOT identity</t>
  </si>
  <si>
    <t>Any LOT created in the system</t>
  </si>
  <si>
    <t>Attempt to create a LOT with a duplicate LOT name</t>
  </si>
  <si>
    <t>System rejects the duplicate; LOT names are unique and conform to the MPP format</t>
  </si>
  <si>
    <t>FAT-TRC-020</t>
  </si>
  <si>
    <t>A LOT exists</t>
  </si>
  <si>
    <t>Open the LOT detail and compare the LOT ID and LOT Name</t>
  </si>
  <si>
    <t>LOT ID is used as the LOT Name (identical)</t>
  </si>
  <si>
    <t>FDS-05-002  —  LTT Pre-Printing      (FRS 2.2.1)</t>
  </si>
  <si>
    <t>LTT pre-printing</t>
  </si>
  <si>
    <t>A batch of pre-printed LTT barcodes; none pre-registered</t>
  </si>
  <si>
    <t>Scan an unused LTT to create a LOT then rescan an already-used one</t>
  </si>
  <si>
    <t>Creating on first scan succeeds (no pre-registration); rescanning a used LTT is rejected as duplicate</t>
  </si>
  <si>
    <t>FDS-05-003  —  LOT Attributes      (FRS 3.9.6, 2.2.2)</t>
  </si>
  <si>
    <t>LOT attributes</t>
  </si>
  <si>
    <t>Review the LOT attributes on LOT detail</t>
  </si>
  <si>
    <t>Part number, piece count, max piece count, serial range (where applicable), weight, vendor lot, and hold state are all present</t>
  </si>
  <si>
    <t>FDS-05-031  —  LOT Computed Quantities (TotalInProcess, InventoryAvailable)</t>
  </si>
  <si>
    <t>Computed quantities</t>
  </si>
  <si>
    <t>A LOT with production + consumption events</t>
  </si>
  <si>
    <t>Open LOT detail and read TotalInProcess and InventoryAvailable</t>
  </si>
  <si>
    <t>Both derive live from the v_LotDerivedQuantities view (event tables), not materialized columns; values reconcile with the events</t>
  </si>
  <si>
    <t>FDS-05-036  —  Lazy, Operator-Driven LOT Creation</t>
  </si>
  <si>
    <t>Lazy operator-driven create</t>
  </si>
  <si>
    <t>No LOT pre-exists for an operation</t>
  </si>
  <si>
    <t>Create the LOT at the moment of the operator's first action</t>
  </si>
  <si>
    <t>The LOT record is created on demand at operator action (lazy), never pre-provisioned</t>
  </si>
  <si>
    <t>FDS-05-012  —  Merge Capability      (FRS 3.9.13)</t>
  </si>
  <si>
    <t>Merge genealogy</t>
  </si>
  <si>
    <t>Two same-part Good LOTs meeting merge rules</t>
  </si>
  <si>
    <t>Merge the LOTs into a new LOT</t>
  </si>
  <si>
    <t>A new LOT is created; merge rules (part match, die-rank, quality status) are enforced; genealogy retained</t>
  </si>
  <si>
    <t>FDS-05-025  —  Post-Sort Requirement      (FRS 3.13.1)</t>
  </si>
  <si>
    <t>Post-sort merge gate</t>
  </si>
  <si>
    <t>Two LOTs proposed for merge that have not completed sort/inspection</t>
  </si>
  <si>
    <t>Attempt the merge</t>
  </si>
  <si>
    <t>Merge is gated — LOTs must satisfy the post-sort requirement before merging</t>
  </si>
  <si>
    <t>Verify: sort-completion gate</t>
  </si>
  <si>
    <t>FDS-05-026  —  Part Number Match      (FRS 3.9.13)</t>
  </si>
  <si>
    <t>Merge part-number match</t>
  </si>
  <si>
    <t>Two LOTs of different part numbers</t>
  </si>
  <si>
    <t>Attempt to merge them</t>
  </si>
  <si>
    <t>Merge is rejected — only same-part-number LOTs may merge</t>
  </si>
  <si>
    <t>FDS-05-027  —  Die Rank Compatibility</t>
  </si>
  <si>
    <t>Die-rank compatibility</t>
  </si>
  <si>
    <t>Two same-part LOTs from incompatible die ranks</t>
  </si>
  <si>
    <t>Merge is rejected on die-rank incompatibility (DieRankCompatibility); a supervisor override is available where policy allows</t>
  </si>
  <si>
    <t>FDS-05-028  —  Quality Status Gating</t>
  </si>
  <si>
    <t>Merge quality-status gating</t>
  </si>
  <si>
    <t>Two LOTs where one is not Good</t>
  </si>
  <si>
    <t>Merge is rejected — all merge inputs must be Good (non-Good blocked)</t>
  </si>
  <si>
    <t>FDS-05-029  —  Machining Is Not a Merge — FIFO-by-Cavity      (FRS 3.13.1)</t>
  </si>
  <si>
    <t>Machining is not a merge</t>
  </si>
  <si>
    <t>A machining line consuming multiple castings</t>
  </si>
  <si>
    <t>Inspect how machining combines input LOTs</t>
  </si>
  <si>
    <t>Machining uses FIFO-by-cavity consume-mint, not a merge; no merge genealogy record is created</t>
  </si>
  <si>
    <t>FDS-05-030  —  Post-Merge LOT Has NULL Tool / Cavity</t>
  </si>
  <si>
    <t>Post-merge null tool/cavity</t>
  </si>
  <si>
    <t>A LOT produced by a merge</t>
  </si>
  <si>
    <t>Inspect the merged output LOT's tool/cavity</t>
  </si>
  <si>
    <t>Merged LOT has NULL Tool/Cavity (provenance preserved via genealogy to the inputs)</t>
  </si>
  <si>
    <t>FDS-05-016  —  Genealogy Graph</t>
  </si>
  <si>
    <t>FAT-TRC-060</t>
  </si>
  <si>
    <t>Split genealogy</t>
  </si>
  <si>
    <t>A LOT with sufficient pieces</t>
  </si>
  <si>
    <t>Split the LOT into sub-LOTs</t>
  </si>
  <si>
    <t>Sub-LOT → parent relationship is retained; genealogy edge and closure are recorded</t>
  </si>
  <si>
    <t>FAT-TRC-110</t>
  </si>
  <si>
    <t>Quality linkage through splits</t>
  </si>
  <si>
    <t>A LOT with a quality result that is later split</t>
  </si>
  <si>
    <t>Split the inspected LOT and view the sub-LOT</t>
  </si>
  <si>
    <t>Quality-result linkage is preserved through the split</t>
  </si>
  <si>
    <t>FDS-05-017  —  Bidirectional Query      (FRS 3.13.2)</t>
  </si>
  <si>
    <t>FAT-TRC-080</t>
  </si>
  <si>
    <t>Genealogy to origin</t>
  </si>
  <si>
    <t>A LOT that has been split/consumed</t>
  </si>
  <si>
    <t>Open the genealogy view and trace backward</t>
  </si>
  <si>
    <t>Full genealogy is presented back to the originating LOT(s)</t>
  </si>
  <si>
    <t>FAT-TRC-090</t>
  </si>
  <si>
    <t>LOT history</t>
  </si>
  <si>
    <t>A LOT with production/movement/reject history</t>
  </si>
  <si>
    <t>Open LOT detail history</t>
  </si>
  <si>
    <t>Complete process history + genealogy for the life of the LOT is shown, timestamps in Eastern time</t>
  </si>
  <si>
    <t>FDS-05-018  —  Genealogy Report</t>
  </si>
  <si>
    <t>Genealogy report</t>
  </si>
  <si>
    <t>A LOT with multi-level genealogy</t>
  </si>
  <si>
    <t>Open the genealogy report/view</t>
  </si>
  <si>
    <t>The report presents the full parent/child tree with production events and is viewable on screen</t>
  </si>
  <si>
    <t>FDS-05-021  —  Attribute Change Log      (FRS 3.9.6)</t>
  </si>
  <si>
    <t>FAT-TRC-040</t>
  </si>
  <si>
    <t>Attribute-change audit</t>
  </si>
  <si>
    <t>Change a LOT attribute (e.g. piece count) as an authorized user</t>
  </si>
  <si>
    <t>The change is recorded in the LOT attribute-change history with old/new value, user, and station</t>
  </si>
  <si>
    <t>FAT-TRC-050</t>
  </si>
  <si>
    <t>Attribute-change authorization</t>
  </si>
  <si>
    <t>Attempt a restricted LOT-attribute change</t>
  </si>
  <si>
    <t>Change is blocked/elevation-gated; when performed it is audited with the logged-in user and terminal</t>
  </si>
  <si>
    <t>FDS-12-001  —  LOT Genealogy Report      (FRS 3.13.2)</t>
  </si>
  <si>
    <t>Genealogy report export</t>
  </si>
  <si>
    <t>A finished-good LOT with full genealogy</t>
  </si>
  <si>
    <t>Request the genealogy report and export</t>
  </si>
  <si>
    <t>Report is viewable on screen and exports to Excel or PDF; selectable by serial/lot/sub-lot</t>
  </si>
  <si>
    <t>FDS-12-002  —  Serialized Item Search      (FRS 3.13.2)</t>
  </si>
  <si>
    <t>Serialized item search</t>
  </si>
  <si>
    <t>A serialized part with a known serial</t>
  </si>
  <si>
    <t>Search by serial number in the trace/search tool</t>
  </si>
  <si>
    <t>The serialized part resolves with its producing LOT and container</t>
  </si>
  <si>
    <t>FDS-12-003  —  Container Search</t>
  </si>
  <si>
    <t>Container search</t>
  </si>
  <si>
    <t>A known container</t>
  </si>
  <si>
    <t>Search by container / AIM shipper id</t>
  </si>
  <si>
    <t>The container resolves with its contents and shipping label</t>
  </si>
  <si>
    <t>FDS-12-004  —  LOT Search</t>
  </si>
  <si>
    <t>LOT search</t>
  </si>
  <si>
    <t>A LOT known by LOT/part/vendor</t>
  </si>
  <si>
    <t>Search by LOT number, part number, or vendor lot</t>
  </si>
  <si>
    <t>Matching LOTs are returned with status and location</t>
  </si>
  <si>
    <t>FDS-12-009  —  In-Process LOT Tracking</t>
  </si>
  <si>
    <t>In-process LOT tracking</t>
  </si>
  <si>
    <t>LOTs in process across the plant</t>
  </si>
  <si>
    <t>Open the in-process LOT report</t>
  </si>
  <si>
    <t>Active LOTs are listed with their current location and status</t>
  </si>
  <si>
    <t>Verify: report screen availability</t>
  </si>
  <si>
    <t>FDS-12-010  —  Hold Status Report</t>
  </si>
  <si>
    <t>Hold status report</t>
  </si>
  <si>
    <t>LOTs/containers on hold</t>
  </si>
  <si>
    <t>Open the hold status report</t>
  </si>
  <si>
    <t>Open holds are listed with type, reason, age, and subject</t>
  </si>
  <si>
    <t>FDS-12-011  —  Shipping History</t>
  </si>
  <si>
    <t>Shipping history</t>
  </si>
  <si>
    <t>Shipped containers over a date range</t>
  </si>
  <si>
    <t>Open the shipping history report</t>
  </si>
  <si>
    <t>Shipped containers list with AIM shipper id, part, quantity, and ship time</t>
  </si>
  <si>
    <t>FDS-12-012  —  Home-Tile Trace Access</t>
  </si>
  <si>
    <t>Home-tile trace access</t>
  </si>
  <si>
    <t>The plant-floor home screen</t>
  </si>
  <si>
    <t>Open the Global Trace tool from the home tile</t>
  </si>
  <si>
    <t>A Trace tile/entry point is present and opens the Global Trace tool</t>
  </si>
  <si>
    <t>FDS-12-013  —  Trace Input</t>
  </si>
  <si>
    <t>Trace input</t>
  </si>
  <si>
    <t>The Global Trace tool</t>
  </si>
  <si>
    <t>Enter a trace identifier (LOT / serial / container / part)</t>
  </si>
  <si>
    <t>The tool accepts and resolves multiple identifier types</t>
  </si>
  <si>
    <t>FDS-12-014  —  Trace Output</t>
  </si>
  <si>
    <t>Trace output + Honda export</t>
  </si>
  <si>
    <t>A resolved trace subject</t>
  </si>
  <si>
    <t>Produce the trace output and export</t>
  </si>
  <si>
    <t>Full upstream/downstream genealogy is displayed and exports to Honda-format PDF/CSV</t>
  </si>
  <si>
    <t>Primary Honda deliverable</t>
  </si>
  <si>
    <t>FDS-12-015  —  Banners-Only In-MVP</t>
  </si>
  <si>
    <t>Banners-only notifications</t>
  </si>
  <si>
    <t>A trace/quality condition raising a notification</t>
  </si>
  <si>
    <t>Observe the MVP notification posture</t>
  </si>
  <si>
    <t>Notifications surface as in-app banners only (no email/SMS) in MVP</t>
  </si>
  <si>
    <t>FDS-16-001  —  IdentifierSequence Table</t>
  </si>
  <si>
    <t>Identifier sequence table</t>
  </si>
  <si>
    <t>Inspect the IdentifierSequence table</t>
  </si>
  <si>
    <t>MESL (LOT) and MESI (serialized) sequences are seeded with their formats</t>
  </si>
  <si>
    <t>FDS-16-002  —  IdentifierSequence_Next Proc</t>
  </si>
  <si>
    <t>Identifier next-value</t>
  </si>
  <si>
    <t>Concurrent LOT creation</t>
  </si>
  <si>
    <t>Mint identifiers under concurrent load</t>
  </si>
  <si>
    <t>IdentifierSequence_Next issues gap-free unique values under row-locking; no duplicates under concurrency</t>
  </si>
  <si>
    <t>FDS-16-003  —  Cutover-Day Seeding</t>
  </si>
  <si>
    <t>Cutover-day seeding</t>
  </si>
  <si>
    <t>Cutover checklist</t>
  </si>
  <si>
    <t>Verify the identifier sequences are seeded to the agreed cutover start values</t>
  </si>
  <si>
    <t>Sequences start at the MPP-agreed cutover values (e.g. a +10,000 offset) so new IDs never collide with legacy</t>
  </si>
  <si>
    <t>deploy-day step</t>
  </si>
  <si>
    <t>FAT-TRC-120</t>
  </si>
  <si>
    <t>Ingot exclusion</t>
  </si>
  <si>
    <t>A produced die-cast part</t>
  </si>
  <si>
    <t>Trace the part genealogy toward raw material</t>
  </si>
  <si>
    <t>Aluminum ingots are NOT part of the produced-part genealogy (correctly absent)</t>
  </si>
  <si>
    <t>FRS 3.9.1</t>
  </si>
  <si>
    <t>FDS-09-001  —  Manual Downtime Entry      (FRS 3.15.1)</t>
  </si>
  <si>
    <t>FAT-SHIFT-010</t>
  </si>
  <si>
    <t>Manual downtime entry</t>
  </si>
  <si>
    <t>Terminal assigned to a Cell/machine; Downtime Manager reachable from the plant-floor header</t>
  </si>
  <si>
    <t>Open the Downtime Manager and start a new manual downtime event</t>
  </si>
  <si>
    <t>A downtime event opens with the machine auto-populated from the terminal location; reason code, start time, and remarks are captured</t>
  </si>
  <si>
    <t>FAT-SHIFT-020</t>
  </si>
  <si>
    <t>An open downtime event exists on this machine</t>
  </si>
  <si>
    <t>End the open event when the machine resumes</t>
  </si>
  <si>
    <t>Event is closed (EndedAt set); duration is computed; the event is stamped with the operator</t>
  </si>
  <si>
    <t>FAT-SHIFT-030</t>
  </si>
  <si>
    <t>Add a past downtime event</t>
  </si>
  <si>
    <t>Downtime Manager open</t>
  </si>
  <si>
    <t>Use Add-Past to record a fully-elapsed downtime event with start and end in the past</t>
  </si>
  <si>
    <t>A closed historical event is recorded and shift-stamped; it appears in the terminal's event list</t>
  </si>
  <si>
    <t>BRA affordance (DowntimeEvent_RecordHistorical)</t>
  </si>
  <si>
    <t>FDS-09-002  —  PLC-Triggered Downtime      (FRS 3.15.2)</t>
  </si>
  <si>
    <t>FAT-SHIFT-040</t>
  </si>
  <si>
    <t>PLC-triggered downtime</t>
  </si>
  <si>
    <t>PLC downtime is not yet commissioned for this line</t>
  </si>
  <si>
    <t>Confirm the PLC-stop watcher exists and a PLC-sourced event can carry a null reason for later assignment</t>
  </si>
  <si>
    <t>Design supports source=PLC events with a null reason the operator assigns after the fact; PLC auto-trigger is commissioning-gated (watcher present, no-op until configured)</t>
  </si>
  <si>
    <t>PLC auto-downtime gated pending commissioning</t>
  </si>
  <si>
    <t>FAT-SHIFT-050</t>
  </si>
  <si>
    <t>A downtime event with source=PLC and no reason code</t>
  </si>
  <si>
    <t>Assign a reason code to the unclassified PLC-sourced event</t>
  </si>
  <si>
    <t>Reason is bound after the fact and the event is reclassified</t>
  </si>
  <si>
    <t>FDS-09-003  —  Open Downtime Events</t>
  </si>
  <si>
    <t>Open downtime visibility</t>
  </si>
  <si>
    <t>A machine with an active (unended) downtime event</t>
  </si>
  <si>
    <t>View the machine's production screen / plant-floor header</t>
  </si>
  <si>
    <t>The open event is shown prominently (line-down indicator); open events remain visible until closed</t>
  </si>
  <si>
    <t>FDS-09-004  —  Downtime Event Immutability</t>
  </si>
  <si>
    <t>FAT-SHIFT-070</t>
  </si>
  <si>
    <t>Downtime immutability</t>
  </si>
  <si>
    <t>An existing downtime event</t>
  </si>
  <si>
    <t>Attempt to edit the event's StartedAt</t>
  </si>
  <si>
    <t>StartedAt is immutable and cannot be overwritten; only EndedAt, reason code, and remarks are editable</t>
  </si>
  <si>
    <t>FAT-SHIFT-080</t>
  </si>
  <si>
    <t>Downtime void</t>
  </si>
  <si>
    <t>An erroneous downtime event</t>
  </si>
  <si>
    <t>Void the event from the Downtime Manager</t>
  </si>
  <si>
    <t>Event is soft-voided (append-only, no hard delete): marked voided with reason/user, closed if still open, excluded from rollups but still visible</t>
  </si>
  <si>
    <t>BRA — soft void, double-void rejected</t>
  </si>
  <si>
    <t>FDS-09-005  —  Downtime Reason Code Filtering</t>
  </si>
  <si>
    <t>Reason-code filtering</t>
  </si>
  <si>
    <t>Downtime Manager open on a machine in a known area</t>
  </si>
  <si>
    <t>Select a reason type then pick a specific code</t>
  </si>
  <si>
    <t>Reason codes are filtered by the machine's area and by reason type; operator selects the type first, then the code within it</t>
  </si>
  <si>
    <t>Types: Equipment, Mold, Quality, Setup, Miscellaneous, Unscheduled</t>
  </si>
  <si>
    <t>FDS-09-009  —  Shift Instances, Event-Derived Runtime</t>
  </si>
  <si>
    <t>Shift instances event-derived</t>
  </si>
  <si>
    <t>A shift schedule active for the line</t>
  </si>
  <si>
    <t>Start and end a shift via events</t>
  </si>
  <si>
    <t>Shift instances are event-derived at runtime (Shift_Start / Shift_End, toggle-per-break); no pre-computed minutes; the reconcile ticker snaps boundaries to schedule</t>
  </si>
  <si>
    <t>FDS-09-010  —  Shift-Downtime Association</t>
  </si>
  <si>
    <t>FAT-SHIFT-100</t>
  </si>
  <si>
    <t>Shift-downtime association</t>
  </si>
  <si>
    <t>A downtime event started within a shift window</t>
  </si>
  <si>
    <t>Inspect the event's shift association</t>
  </si>
  <si>
    <t>Event is associated with the shift instance in which it started (ShiftId FK)</t>
  </si>
  <si>
    <t>FAT-SHIFT-110</t>
  </si>
  <si>
    <t>Shift-boundary handling</t>
  </si>
  <si>
    <t>A downtime event still open at a shift boundary</t>
  </si>
  <si>
    <t>Cross the shift boundary without resuming the machine</t>
  </si>
  <si>
    <t>Event is not auto-split; it stays associated with the shift it started in and remains open until the incoming operator closes it</t>
  </si>
  <si>
    <t>FDS-09-013  —  End-of-Shift Time Entry      (FRS 3.15.2)</t>
  </si>
  <si>
    <t>FAT-SHIFT-120</t>
  </si>
  <si>
    <t>End-of-shift time entry</t>
  </si>
  <si>
    <t>Logged in on a dedicated-flavor terminal near scheduled shift end</t>
  </si>
  <si>
    <t>Open the shift end-time-entry control and toggle the breaks taken</t>
  </si>
  <si>
    <t>A toggle button appears per scheduled break; tapping selects/deselects with no numeric duration entry; the control is visible only ~15 min before through ~15 min after scheduled shift end</t>
  </si>
  <si>
    <t>FAT-SHIFT-130</t>
  </si>
  <si>
    <t>Break buttons toggled</t>
  </si>
  <si>
    <t>Submit the end-of-shift entry</t>
  </si>
  <si>
    <t>One closed DowntimeEvent is written per selected break with duration resolved from the schedule (not operator-entered); one submission per operator per shift (re-submit rejected)</t>
  </si>
  <si>
    <t>FAT-SHIFT-140</t>
  </si>
  <si>
    <t>End-of-shift time entry (shared flavor / zero breaks)</t>
  </si>
  <si>
    <t>Shared-flavor terminal at shift end</t>
  </si>
  <si>
    <t>Enter initials and submit with no breaks selected</t>
  </si>
  <si>
    <t>Initials resolve to an AppUser and stamp the submission; selecting zero breaks is valid — no DowntimeEvent rows written but the shift-end acknowledgement is still recorded</t>
  </si>
  <si>
    <t>FDS-09-014  —  Early-Start Behaviour</t>
  </si>
  <si>
    <t>FAT-SHIFT-150</t>
  </si>
  <si>
    <t>Early-start behaviour</t>
  </si>
  <si>
    <t>Production recorded before the scheduled shift start</t>
  </si>
  <si>
    <t>Record a production event with a timestamp earlier than scheduled start</t>
  </si>
  <si>
    <t>Event is accepted without rejection; the availability window expands backward to the earliest event</t>
  </si>
  <si>
    <t>FAT-SHIFT-160</t>
  </si>
  <si>
    <t>Shift-not-run auditability</t>
  </si>
  <si>
    <t>A scheduled shift with zero production events across its whole window</t>
  </si>
  <si>
    <t>Advance past the scheduled window and inspect the shift</t>
  </si>
  <si>
    <t>An Oee.Shift instance is still created and reports as zero-run for auditability</t>
  </si>
  <si>
    <t>Reconcile ticker snaps boundaries (Oee.Shift_Reconcile)</t>
  </si>
  <si>
    <t>FDS-09-015  —  Shift-End Summary Screen</t>
  </si>
  <si>
    <t>FAT-SHIFT-170</t>
  </si>
  <si>
    <t>Shift-end summary</t>
  </si>
  <si>
    <t>Terminal with open downtime, open LOT pauses, and in-process LOTs at its Cell</t>
  </si>
  <si>
    <t>Open the Shift-End Summary (or trigger Handover)</t>
  </si>
  <si>
    <t>A read-only one-screen summary lists open downtime events, open LOT pauses, and in-process LOTs at the terminal's Cell(s)</t>
  </si>
  <si>
    <t>FAT-SHIFT-180</t>
  </si>
  <si>
    <t>Shift-end handover acknowledgement</t>
  </si>
  <si>
    <t>Shift-End Summary displayed</t>
  </si>
  <si>
    <t>Acknowledge the summary as the outgoing operator</t>
  </si>
  <si>
    <t>Handover acknowledgement is recorded to Audit.OperationLog (ShiftHandoverAcknowledged); the summary is optional and may be skipped without affecting open events/pauses</t>
  </si>
  <si>
    <t>FDS-09-011  —  OEE Scope Boundary   [FUTURE]</t>
  </si>
  <si>
    <t>FDS-12-005  —  Die Shot Report      (FRS 5.6.6)</t>
  </si>
  <si>
    <t>Die Shot report</t>
  </si>
  <si>
    <t>Die-cast production and rejects captured for a die over a shift</t>
  </si>
  <si>
    <t>Request a Die Shot report for a die and shift</t>
  </si>
  <si>
    <t>Report shows total shots, good shots, warm-up shots, and reject counts per die per shift</t>
  </si>
  <si>
    <t>Inputs captured (DieCastContribution/shift output); dedicated report screen pending in this build</t>
  </si>
  <si>
    <t>FDS-12-006  —  Rejects Report      (FRS 3.5.4)</t>
  </si>
  <si>
    <t>Rejects report</t>
  </si>
  <si>
    <t>Rejects recorded with defect codes across machines</t>
  </si>
  <si>
    <t>Request a Rejects report filtered by defect code / area / machine / date range</t>
  </si>
  <si>
    <t>Report shows reject counts grouped by defect code with area/machine/date-range filters</t>
  </si>
  <si>
    <t>Inputs captured; dedicated report screen pending in this build</t>
  </si>
  <si>
    <t>FDS-12-007  —  Downtime Report      (FRS 3.15.0)</t>
  </si>
  <si>
    <t>Downtime report</t>
  </si>
  <si>
    <t>Downtime events captured across a date range</t>
  </si>
  <si>
    <t>Request a Downtime report filtered by reason code / reason type / area / machine / date range</t>
  </si>
  <si>
    <t>Report shows downtime events by reason code and type with total downtime minutes per shift</t>
  </si>
  <si>
    <t>Inputs captured via Downtime Manager/DowntimeEvent; dedicated report/CSV-export screen pending in this build</t>
  </si>
  <si>
    <t>FDS-12-008  —  Production Report      (FRS 3.5.4)</t>
  </si>
  <si>
    <t>Production report</t>
  </si>
  <si>
    <t>Production output recorded by part / machine / shift</t>
  </si>
  <si>
    <t>Request a Production summary report over a date range</t>
  </si>
  <si>
    <t>Report summarizes output by part number, machine, and shift with good count, reject count, and yield</t>
  </si>
  <si>
    <t>FDS-05-024  —  Sublot Labels</t>
  </si>
  <si>
    <t>FAT-LBL-010</t>
  </si>
  <si>
    <t>Sublot label</t>
  </si>
  <si>
    <t>A sublot LOT created from a parent</t>
  </si>
  <si>
    <t>Print the sublot LTT label</t>
  </si>
  <si>
    <t>The label displays both the sublot's own LotNumber and the ParentLotNumber; the LotLabel row carries a ParentLotId reference</t>
  </si>
  <si>
    <t>FAT-LBL-020</t>
  </si>
  <si>
    <t>Sublot cross-reference</t>
  </si>
  <si>
    <t>A sublot with a known parent</t>
  </si>
  <si>
    <t>In the genealogy view, enter either the sublot or the parent number</t>
  </si>
  <si>
    <t>The system resolves and shows the other number; the parent reference is preserved through reprint</t>
  </si>
  <si>
    <t>FDS-05-019  —  Label Print Tracking</t>
  </si>
  <si>
    <t>Label print tracking</t>
  </si>
  <si>
    <t>Any LOT with a printable LTT</t>
  </si>
  <si>
    <t>Print an LTT label</t>
  </si>
  <si>
    <t>A LotLabel row is recorded with LOT, print reason, rendered ZPL content, printer name, printed-by user, terminal, and timestamp</t>
  </si>
  <si>
    <t>FDS-05-020  —  Print Reasons      (FRS 3.13.1, 2.2.1)</t>
  </si>
  <si>
    <t>Print reasons</t>
  </si>
  <si>
    <t>LOTs reaching each print trigger</t>
  </si>
  <si>
    <t>Trigger prints across scenarios (LOT creation, damaged reprint, split, merge, sort-cage re-identify)</t>
  </si>
  <si>
    <t>Each print records the correct reason code — Initial, ReprintDamaged, Split, Merge, or SortCageReIdentify</t>
  </si>
  <si>
    <t>FDS-07-006  —  Shipping Label Generation</t>
  </si>
  <si>
    <t>Shipping label generation</t>
  </si>
  <si>
    <t>A completed container with a claimed AIM shipper ID</t>
  </si>
  <si>
    <t>Inspect the generated shipping label</t>
  </si>
  <si>
    <t>A ZPL shipping label carries the AIM shipper ID, part number, quantity, and Honda-required fields and is sent to the terminal's Zebra</t>
  </si>
  <si>
    <t>Zebra raw-TCP 9100; simulated in dev</t>
  </si>
  <si>
    <t>FDS-07-007  —  Shipping Label Tracking</t>
  </si>
  <si>
    <t>Shipping label tracking</t>
  </si>
  <si>
    <t>Shipping labels printed / voided / reprinted</t>
  </si>
  <si>
    <t>Review the ShippingLabel rows</t>
  </si>
  <si>
    <t>Every print, void, and reprint is recorded with container, AIM shipper ID, label type, ZPL content, void flag, printed/voided timestamps, and printed-by user</t>
  </si>
  <si>
    <t>FDS-07-008  —  Shipping Label Void</t>
  </si>
  <si>
    <t>FAT-LBL-070</t>
  </si>
  <si>
    <t>Shipping label void</t>
  </si>
  <si>
    <t>A completed container's shipping label</t>
  </si>
  <si>
    <t>Void the shipping label</t>
  </si>
  <si>
    <t>IsVoid=1 and VoidedAt are set, the row is retained (not deleted), and AIM is notified of the void</t>
  </si>
  <si>
    <t>AIM endpoint simulated in dev</t>
  </si>
  <si>
    <t>FAT-LBL-080</t>
  </si>
  <si>
    <t>Void ID lifecycle</t>
  </si>
  <si>
    <t>A voided AIM shipper ID</t>
  </si>
  <si>
    <t>Re-pack the container and close the new container</t>
  </si>
  <si>
    <t>The voided AIM ID is NOT returned to the pool (permanently consumed); the re-packed container draws a fresh ID from the pool</t>
  </si>
  <si>
    <t>FDS-07-009  —  Shipping Label Reprint      (FRS 3.13.1)</t>
  </si>
  <si>
    <t>Shipping label reprint</t>
  </si>
  <si>
    <t>A damaged/unreadable shipping label</t>
  </si>
  <si>
    <t>Reprint the label as an authorized user</t>
  </si>
  <si>
    <t>A NEW ShippingLabel row is created (Initial=0 with a print reason); the original row is unchanged</t>
  </si>
  <si>
    <t>FDS-07-010  —  AIM Shipper ID Local Pool</t>
  </si>
  <si>
    <t>FAT-LBL-100</t>
  </si>
  <si>
    <t>AIM pool FIFO</t>
  </si>
  <si>
    <t>A pool pre-fetched with AIM shipper IDs for the part</t>
  </si>
  <si>
    <t>Complete containers and inspect the pool</t>
  </si>
  <si>
    <t>IDs are consumed FIFO (oldest FetchedAt first) at container close; each consumed row is terminal (ConsumedAt set, pointing at the consuming container)</t>
  </si>
  <si>
    <t>FAT-LBL-110</t>
  </si>
  <si>
    <t>Empty-pool hard fail</t>
  </si>
  <si>
    <t>An exhausted AIM pool for the part</t>
  </si>
  <si>
    <t>Attempt to complete a full container</t>
  </si>
  <si>
    <t>Completion hard-fails before the transaction (container stays Open) and production stops on the line until the pool refills — no soft fallback</t>
  </si>
  <si>
    <t>OI-33 posture</t>
  </si>
  <si>
    <t>FDS-07-011  —  AIM Hold Notification      (FRS 2.3.1)</t>
  </si>
  <si>
    <t>AIM hold notification</t>
  </si>
  <si>
    <t>A completed container placed on hold</t>
  </si>
  <si>
    <t>Place the container on hold; then release it</t>
  </si>
  <si>
    <t>AIM PlaceOnHold is called with the shipper ID on hold and ReleaseFromHold on release; both calls are logged to Audit.InterfaceLog</t>
  </si>
  <si>
    <t>AIM HTTP endpoint simulated in dev (logs attempt + not-configured status)</t>
  </si>
  <si>
    <t>FDS-07-012  —  AIM Update for Re-Sort      (FRS 2.1.10)</t>
  </si>
  <si>
    <t>AIM update for re-sort</t>
  </si>
  <si>
    <t>A Sort Cage re-pack with serial migration</t>
  </si>
  <si>
    <t>Re-pack a container with new serials</t>
  </si>
  <si>
    <t>AIM UpdateAim is called with the new and previous serial parameters and logged to Audit.InterfaceLog</t>
  </si>
  <si>
    <t>FDS-10-008  —  Zebra Printer Integration</t>
  </si>
  <si>
    <t>FAT-LBL-140</t>
  </si>
  <si>
    <t>Zebra integration</t>
  </si>
  <si>
    <t>A terminal with an associated Zebra printer</t>
  </si>
  <si>
    <t>Print a label from that terminal</t>
  </si>
  <si>
    <t>ZPL is sent over a TCP socket to the terminal's configured printer; ZPL templates come from configurable LabelTemplate rows, not hard-coded</t>
  </si>
  <si>
    <t>Zebra raw-TCP 9100; no networked printer in dev (simulated)</t>
  </si>
  <si>
    <t>FAT-LBL-150</t>
  </si>
  <si>
    <t>Async print dispatch + retry</t>
  </si>
  <si>
    <t>A shipping label queued at container close</t>
  </si>
  <si>
    <t>Force a print failure at the Zebra</t>
  </si>
  <si>
    <t>Dispatch is async (Gateway-script-async); on failure the handler retries up to 3 attempts with a 2s gap, then sets PrintFailedAt and surfaces a terminal banner; a stranded-print sweep catches orphaned labels</t>
  </si>
  <si>
    <t>Print-failure lifecycle; dev SIM fails-fast + logs</t>
  </si>
  <si>
    <t>FDS-13-001  —  AIM Interface Methods</t>
  </si>
  <si>
    <t>AIM interface methods</t>
  </si>
  <si>
    <t>AIM integration configured</t>
  </si>
  <si>
    <t>Exercise each AIM trigger</t>
  </si>
  <si>
    <t>All four methods are implemented and fire on their triggers — GetNextNumber (pool topup), UpdateAim (Sort Cage re-pack), PlaceOnHold (hold), ReleaseFromHold (release)</t>
  </si>
  <si>
    <t>AIM endpoint simulated in dev; live HTTP wiring at commissioning</t>
  </si>
  <si>
    <t>FDS-13-002  —  AIM Error Handling</t>
  </si>
  <si>
    <t>AIM error handling</t>
  </si>
  <si>
    <t>An AIM call that fails</t>
  </si>
  <si>
    <t>Trigger an AIM call while the endpoint is unavailable</t>
  </si>
  <si>
    <t>The failure is logged to Audit.InterfaceLog with error details, queued for retry, the shipping operator is alerted the call is pending, and the container stays in its current status until the call succeeds</t>
  </si>
  <si>
    <t>FDS-13-003  —  AIM Availability</t>
  </si>
  <si>
    <t>AIM availability</t>
  </si>
  <si>
    <t>A pre-fetched AIM pool with AIM offline</t>
  </si>
  <si>
    <t>Complete containers during an AIM outage</t>
  </si>
  <si>
    <t>Containers still complete and stage from the pre-fetched pool and production is not blocked by the AIM outage; only a fully exhausted pool stops closure (per the pool hard-fail)</t>
  </si>
  <si>
    <t>FDS-11-001  —  Operation Log</t>
  </si>
  <si>
    <t>FAT-AUD-010</t>
  </si>
  <si>
    <t>Operation log capture</t>
  </si>
  <si>
    <t>A shop-floor action available (e.g. move or split a LOT)</t>
  </si>
  <si>
    <t>Perform the action then open the LOT's history detail</t>
  </si>
  <si>
    <t>An Audit.OperationLog entry is written with timestamp, user, terminal, location, severity, event type, entity type, entity id, and description</t>
  </si>
  <si>
    <t>No standalone operation-log browser; witnessed via LOT history detail / DB inspection</t>
  </si>
  <si>
    <t>FAT-AUD-020</t>
  </si>
  <si>
    <t>Operation-log atomicity</t>
  </si>
  <si>
    <t>A mutating proc that fails after opening its transaction</t>
  </si>
  <si>
    <t>Trigger a mutation that rolls back</t>
  </si>
  <si>
    <t>The operation-log write is atomic with the mutation — a rolled-back mutation leaves no orphan log row (write occurs inside the proc transaction)</t>
  </si>
  <si>
    <t>N/A by inspection</t>
  </si>
  <si>
    <t>FDS-11-002  —  Configuration Log</t>
  </si>
  <si>
    <t>FAT-AUD-030</t>
  </si>
  <si>
    <t>Configuration log browser</t>
  </si>
  <si>
    <t>Config Tool Audit (Config Log) browser reachable at /audit</t>
  </si>
  <si>
    <t>Open the browser and apply Entity Type / Severity / date-range / search filters</t>
  </si>
  <si>
    <t>The Configuration Log lists config changes; Apply filters and Reset clears them; timestamps display in Eastern time</t>
  </si>
  <si>
    <t>FAT-AUD-040</t>
  </si>
  <si>
    <t>Configuration change audit</t>
  </si>
  <si>
    <t>Config Log browser open</t>
  </si>
  <si>
    <t>Make an engineering change (e.g. deprecate a downtime reason code), then find it in the Config Log and open its detail</t>
  </si>
  <si>
    <t>Entry shows the change with a structured old/new JSON diff carrying resolved-name FK sub-objects; detail popup renders the change</t>
  </si>
  <si>
    <t>FDS-11-003  —  Interface Log</t>
  </si>
  <si>
    <t>Interface log capture</t>
  </si>
  <si>
    <t>An external call path available (AIM or Zebra print)</t>
  </si>
  <si>
    <t>Trigger the external call and inspect Audit.InterfaceLog</t>
  </si>
  <si>
    <t>An interface-log row is written with system name, direction (INBOUND/OUTBOUND), event type, and description</t>
  </si>
  <si>
    <t>No dedicated interface-log browser; witness by DB inspection</t>
  </si>
  <si>
    <t>FDS-11-004  —  Failure Log</t>
  </si>
  <si>
    <t>FAT-AUD-060</t>
  </si>
  <si>
    <t>Failure log browser</t>
  </si>
  <si>
    <t>Failure Log browser reachable at /failure-log</t>
  </si>
  <si>
    <t>Cause a rejected mutation (e.g. deprecate an entity with active dependents), then open the Failure Log</t>
  </si>
  <si>
    <t>Entry shows the attempted timestamp, user, entity, event type, failure reason, procedure name, and a JSON snapshot of the input parameters; detail popup opens</t>
  </si>
  <si>
    <t>FAT-AUD-070</t>
  </si>
  <si>
    <t>Failure-log analytics</t>
  </si>
  <si>
    <t>Failure Log browser open with several logged rejections</t>
  </si>
  <si>
    <t>Review the dashboard tiles</t>
  </si>
  <si>
    <t>Top Rejection Reasons and Top Failing Procedures tiles aggregate the rejections; entity/user/procedure/date filters narrow the list</t>
  </si>
  <si>
    <t>FDS-11-005  —  High-Fidelity Interface Logging</t>
  </si>
  <si>
    <t>High-fidelity interface logging</t>
  </si>
  <si>
    <t>Interface logging configuration accessible</t>
  </si>
  <si>
    <t>Enable high-fidelity mode for one target system</t>
  </si>
  <si>
    <t>Full RequestPayload and ResponsePayload are stored for that system; the mode is toggleable per target system without a restart</t>
  </si>
  <si>
    <t>FDS-11-006  —  Event Type Vocabulary</t>
  </si>
  <si>
    <t>Event type vocabulary</t>
  </si>
  <si>
    <t>Any audit browser with an Event Type facet</t>
  </si>
  <si>
    <t>Inspect the event type values on log entries</t>
  </si>
  <si>
    <t>Event types come from the normalized LogEventType table (e.g. LotMoved, DowntimeStarted, ConfigChanged) with no free-text drift; an unseeded code cannot be written</t>
  </si>
  <si>
    <t>FDS-11-007  —  Entity Type Vocabulary</t>
  </si>
  <si>
    <t>Entity type vocabulary</t>
  </si>
  <si>
    <t>Open the Entity Type filter dropdown</t>
  </si>
  <si>
    <t>Entity types are populated from the normalized LogEntityType table (Lot, DowntimeEvent, DowntimeReasonCode, Location, etc.)</t>
  </si>
  <si>
    <t>FDS-11-008  —  Code-String Signatures for Shared Audit Procs</t>
  </si>
  <si>
    <t>Code-string audit signatures</t>
  </si>
  <si>
    <t>Access to a shared audit proc call path</t>
  </si>
  <si>
    <t>Confirm the shared audit procs accept code strings and reject an unresolvable one</t>
  </si>
  <si>
    <t>Shared audit procs accept event/entity/severity as code strings resolved to ids internally; a code that does not resolve raises an error (surfaces a seeding gap/typo)</t>
  </si>
  <si>
    <t>FDS-11-011  —  Ignition JDBC Single-Result-Set Convention</t>
  </si>
  <si>
    <t>Single-result-set convention</t>
  </si>
  <si>
    <t>Any Ignition-consumed stored procedure</t>
  </si>
  <si>
    <t>Inspect proc signatures and result-set behavior</t>
  </si>
  <si>
    <t>Procs return exactly one result set and declare no OUTPUT parameters; mutations emit a single SELECT Status/Message/NewId and reads return an empty set for not-found</t>
  </si>
  <si>
    <t>FDS-11-009  —  Retention Policy</t>
  </si>
  <si>
    <t>Retention policy</t>
  </si>
  <si>
    <t>Partition-maintenance timer configured</t>
  </si>
  <si>
    <t>Inspect the retention/partition maintenance configuration</t>
  </si>
  <si>
    <t>Differentiated retention is enforced via the monthly sliding-window partition process — 20-yr Honda traceability vs 7-yr general operational/audit; aged partitions purged in place</t>
  </si>
  <si>
    <t>Final per-table windows pending MPP IT confirmation (OI-35 B1)</t>
  </si>
  <si>
    <t>FDS-11-010  —  BIGINT Primary Keys</t>
  </si>
  <si>
    <t>BIGINT primary keys</t>
  </si>
  <si>
    <t>Access to the audit schema</t>
  </si>
  <si>
    <t>Inspect the four log tables' primary keys</t>
  </si>
  <si>
    <t>OperationLog, ConfigLog, InterfaceLog, and FailureLog all use BIGINT IDENTITY primary keys for high-volume append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</si>
</sst>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F3A5F"/>
      <sz val="18"/>
    </font>
    <font>
      <i/>
      <color rgb="FF595959"/>
      <sz val="11"/>
    </font>
    <font>
      <b/>
      <sz val="10"/>
    </font>
    <font>
      <sz val="10"/>
    </font>
    <font>
      <b/>
      <color rgb="FFFFFFFF"/>
    </font>
    <font>
      <b/>
      <color rgb="FF2E75B6"/>
      <sz val="10"/>
    </font>
    <font>
      <b/>
      <color rgb="FFFFFFFF"/>
      <sz val="11"/>
    </font>
    <font>
      <i/>
      <color rgb="FF808080"/>
      <sz val="10"/>
    </font>
  </fonts>
  <fills count="11">
    <fill>
      <patternFill patternType="none"/>
    </fill>
    <fill>
      <patternFill patternType="gray125"/>
    </fill>
    <fill>
      <patternFill patternType="solid">
        <fgColor rgb="FF1F3A5F"/>
      </patternFill>
    </fill>
    <fill>
      <patternFill patternType="solid">
        <fgColor rgb="FFFFF6D9"/>
      </patternFill>
    </fill>
    <fill>
      <patternFill patternType="solid">
        <fgColor rgb="FFF5F8FC"/>
      </patternFill>
    </fill>
    <fill>
      <patternFill patternType="solid">
        <fgColor rgb="FFE2EFDA"/>
      </patternFill>
    </fill>
    <fill>
      <patternFill patternType="solid">
        <fgColor rgb="FFECECEC"/>
      </patternFill>
    </fill>
    <fill>
      <patternFill patternType="solid">
        <fgColor rgb="FFFCE4B8"/>
      </patternFill>
    </fill>
    <fill>
      <patternFill patternType="solid">
        <fgColor rgb="FF2E75B6"/>
      </patternFill>
    </fill>
    <fill>
      <patternFill patternType="solid">
        <fgColor rgb="FFF2F2F2"/>
      </patternFill>
    </fill>
    <fill>
      <patternFill patternType="solid">
        <fgColor rgb="FF54823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2" borderId="0" xfId="0" applyFont="1" applyFill="1"/>
    <xf numFmtId="0" fontId="4" fillId="0" borderId="0" xfId="0" applyFont="1"/>
    <xf numFmtId="0" fontId="0" fillId="3" borderId="1" xfId="0" applyFill="1" applyBorder="1"/>
    <xf numFmtId="0" fontId="3" fillId="4" borderId="1" xfId="0" applyFont="1" applyFill="1" applyBorder="1"/>
    <xf numFmtId="0" fontId="3" fillId="0" borderId="1" xfId="0" applyFont="1" applyBorder="1"/>
    <xf numFmtId="0" fontId="0" fillId="0" borderId="1" xfId="0" applyBorder="1"/>
    <xf numFmtId="0" fontId="3" fillId="0" borderId="1" xfId="0" applyFont="1" applyBorder="1" applyAlignment="1">
      <alignment horizontal="left"/>
    </xf>
    <xf numFmtId="0" fontId="4" fillId="0" borderId="1" xfId="0" applyFont="1" applyBorder="1" applyAlignment="1">
      <alignment horizontal="center"/>
    </xf>
    <xf numFmtId="0" fontId="5" fillId="2" borderId="1" xfId="0" applyFont="1" applyFill="1" applyBorder="1" applyAlignment="1">
      <alignment vertical="center"/>
    </xf>
    <xf numFmtId="0" fontId="6"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vertical="top"/>
    </xf>
    <xf numFmtId="0" fontId="3" fillId="5" borderId="1" xfId="0" applyFont="1" applyFill="1" applyBorder="1" applyAlignment="1">
      <alignment vertical="top"/>
    </xf>
    <xf numFmtId="0" fontId="3" fillId="6" borderId="1" xfId="0" applyFont="1" applyFill="1" applyBorder="1" applyAlignment="1">
      <alignment vertical="top"/>
    </xf>
    <xf numFmtId="0" fontId="3" fillId="7" borderId="1" xfId="0" applyFont="1" applyFill="1" applyBorder="1" applyAlignment="1">
      <alignment vertical="top"/>
    </xf>
    <xf numFmtId="0" fontId="7" fillId="2" borderId="1" xfId="0" applyFont="1" applyFill="1" applyBorder="1" applyAlignment="1">
      <alignment horizontal="left" vertical="center"/>
    </xf>
    <xf numFmtId="0" fontId="7" fillId="2" borderId="1" xfId="0" applyFont="1" applyFill="1" applyBorder="1" applyAlignment="1">
      <alignment horizontal="center" vertical="center"/>
    </xf>
    <xf numFmtId="0" fontId="7" fillId="8" borderId="0" xfId="0" applyFont="1" applyFill="1" applyAlignment="1">
      <alignment horizontal="left" vertical="center" indent="1"/>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4" fillId="3"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8" fillId="9" borderId="0" xfId="0" applyFont="1" applyFill="1" applyAlignment="1">
      <alignment horizontal="left" vertical="center" indent="2"/>
    </xf>
    <xf numFmtId="0" fontId="7" fillId="10"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6" customWidth="1"/>
    <col min="3" max="3" width="26" customWidth="1"/>
    <col min="4" max="4" width="24" customWidth="1"/>
    <col min="5" max="5" width="14" customWidth="1"/>
    <col min="6" max="6" width="16" customWidth="1"/>
    <col min="7" max="7" width="30" customWidth="1"/>
    <col min="8" max="8" width="15" customWidth="1"/>
  </cols>
  <sheetData>
    <row r="1" ht="20" customHeight="1" spans="1:8" x14ac:dyDescent="0.25">
      <c r="A1" s="13" t="s">
        <v>55</v>
      </c>
      <c r="B1" s="13" t="s">
        <v>56</v>
      </c>
      <c r="C1" s="13" t="s">
        <v>57</v>
      </c>
      <c r="D1" s="13" t="s">
        <v>27</v>
      </c>
      <c r="E1" s="13" t="s">
        <v>4</v>
      </c>
      <c r="F1" s="13" t="s">
        <v>58</v>
      </c>
      <c r="G1" s="13" t="s">
        <v>59</v>
      </c>
      <c r="H1" s="13" t="s">
        <v>60</v>
      </c>
    </row>
    <row r="2" ht="16.6" customHeight="1" spans="1:8" x14ac:dyDescent="0.25">
      <c r="A2" s="14" t="s">
        <v>61</v>
      </c>
      <c r="B2" s="15" t="s">
        <v>62</v>
      </c>
      <c r="C2" s="16" t="s">
        <v>63</v>
      </c>
      <c r="D2" s="16" t="s">
        <v>33</v>
      </c>
      <c r="E2" s="16" t="s">
        <v>64</v>
      </c>
      <c r="F2" s="16" t="s">
        <v>14</v>
      </c>
      <c r="G2" s="15" t="s">
        <v>65</v>
      </c>
      <c r="H2" s="17" t="s">
        <v>66</v>
      </c>
    </row>
    <row r="3" ht="16.6" customHeight="1" spans="1:8" x14ac:dyDescent="0.25">
      <c r="A3" s="14" t="s">
        <v>67</v>
      </c>
      <c r="B3" s="15" t="s">
        <v>68</v>
      </c>
      <c r="C3" s="16" t="s">
        <v>63</v>
      </c>
      <c r="D3" s="16" t="s">
        <v>33</v>
      </c>
      <c r="E3" s="16" t="s">
        <v>64</v>
      </c>
      <c r="F3" s="16" t="s">
        <v>14</v>
      </c>
      <c r="G3" s="15" t="s">
        <v>69</v>
      </c>
      <c r="H3" s="17" t="s">
        <v>70</v>
      </c>
    </row>
    <row r="4" ht="16.6" customHeight="1" spans="1:8" x14ac:dyDescent="0.25">
      <c r="A4" s="14" t="s">
        <v>71</v>
      </c>
      <c r="B4" s="15" t="s">
        <v>72</v>
      </c>
      <c r="C4" s="16" t="s">
        <v>63</v>
      </c>
      <c r="D4" s="16" t="s">
        <v>33</v>
      </c>
      <c r="E4" s="16" t="s">
        <v>64</v>
      </c>
      <c r="F4" s="16" t="s">
        <v>14</v>
      </c>
      <c r="G4" s="15" t="s">
        <v>73</v>
      </c>
      <c r="H4" s="17" t="s">
        <v>70</v>
      </c>
    </row>
    <row r="5" ht="16.6" customHeight="1" spans="1:8" x14ac:dyDescent="0.25">
      <c r="A5" s="14" t="s">
        <v>74</v>
      </c>
      <c r="B5" s="15" t="s">
        <v>75</v>
      </c>
      <c r="C5" s="16" t="s">
        <v>63</v>
      </c>
      <c r="D5" s="16" t="s">
        <v>33</v>
      </c>
      <c r="E5" s="16" t="s">
        <v>64</v>
      </c>
      <c r="F5" s="16" t="s">
        <v>14</v>
      </c>
      <c r="G5" s="15" t="s">
        <v>76</v>
      </c>
      <c r="H5" s="17" t="s">
        <v>70</v>
      </c>
    </row>
    <row r="6" ht="16.6" customHeight="1" spans="1:8" x14ac:dyDescent="0.25">
      <c r="A6" s="14" t="s">
        <v>77</v>
      </c>
      <c r="B6" s="15" t="s">
        <v>78</v>
      </c>
      <c r="C6" s="16" t="s">
        <v>79</v>
      </c>
      <c r="D6" s="16" t="s">
        <v>33</v>
      </c>
      <c r="E6" s="16" t="s">
        <v>64</v>
      </c>
      <c r="F6" s="16" t="s">
        <v>80</v>
      </c>
      <c r="G6" s="15" t="s">
        <v>81</v>
      </c>
      <c r="H6" s="17" t="s">
        <v>70</v>
      </c>
    </row>
    <row r="7" ht="16.6" customHeight="1" spans="1:8" x14ac:dyDescent="0.25">
      <c r="A7" s="14" t="s">
        <v>82</v>
      </c>
      <c r="B7" s="15" t="s">
        <v>83</v>
      </c>
      <c r="C7" s="16" t="s">
        <v>79</v>
      </c>
      <c r="D7" s="16" t="s">
        <v>33</v>
      </c>
      <c r="E7" s="16" t="s">
        <v>64</v>
      </c>
      <c r="F7" s="16" t="s">
        <v>84</v>
      </c>
      <c r="G7" s="15" t="s">
        <v>85</v>
      </c>
      <c r="H7" s="17" t="s">
        <v>70</v>
      </c>
    </row>
    <row r="8" ht="16.6" customHeight="1" spans="1:8" x14ac:dyDescent="0.25">
      <c r="A8" s="14" t="s">
        <v>86</v>
      </c>
      <c r="B8" s="15" t="s">
        <v>87</v>
      </c>
      <c r="C8" s="16" t="s">
        <v>79</v>
      </c>
      <c r="D8" s="16" t="s">
        <v>33</v>
      </c>
      <c r="E8" s="16" t="s">
        <v>64</v>
      </c>
      <c r="F8" s="16" t="s">
        <v>88</v>
      </c>
      <c r="G8" s="15" t="s">
        <v>89</v>
      </c>
      <c r="H8" s="17" t="s">
        <v>70</v>
      </c>
    </row>
    <row r="9" ht="16.6" customHeight="1" spans="1:8" x14ac:dyDescent="0.25">
      <c r="A9" s="14" t="s">
        <v>90</v>
      </c>
      <c r="B9" s="15" t="s">
        <v>91</v>
      </c>
      <c r="C9" s="16" t="s">
        <v>79</v>
      </c>
      <c r="D9" s="16" t="s">
        <v>33</v>
      </c>
      <c r="E9" s="16" t="s">
        <v>64</v>
      </c>
      <c r="F9" s="16" t="s">
        <v>14</v>
      </c>
      <c r="G9" s="15" t="s">
        <v>92</v>
      </c>
      <c r="H9" s="17" t="s">
        <v>66</v>
      </c>
    </row>
    <row r="10" ht="16.6" customHeight="1" spans="1:8" x14ac:dyDescent="0.25">
      <c r="A10" s="14" t="s">
        <v>93</v>
      </c>
      <c r="B10" s="15" t="s">
        <v>94</v>
      </c>
      <c r="C10" s="16" t="s">
        <v>95</v>
      </c>
      <c r="D10" s="16" t="s">
        <v>33</v>
      </c>
      <c r="E10" s="16" t="s">
        <v>64</v>
      </c>
      <c r="F10" s="16" t="s">
        <v>14</v>
      </c>
      <c r="G10" s="15" t="s">
        <v>96</v>
      </c>
      <c r="H10" s="17" t="s">
        <v>70</v>
      </c>
    </row>
    <row r="11" ht="16.6" customHeight="1" spans="1:8" x14ac:dyDescent="0.25">
      <c r="A11" s="14" t="s">
        <v>97</v>
      </c>
      <c r="B11" s="15" t="s">
        <v>98</v>
      </c>
      <c r="C11" s="16" t="s">
        <v>95</v>
      </c>
      <c r="D11" s="16" t="s">
        <v>33</v>
      </c>
      <c r="E11" s="16" t="s">
        <v>64</v>
      </c>
      <c r="F11" s="16" t="s">
        <v>14</v>
      </c>
      <c r="G11" s="15" t="s">
        <v>99</v>
      </c>
      <c r="H11" s="17" t="s">
        <v>70</v>
      </c>
    </row>
    <row r="12" ht="16.6" customHeight="1" spans="1:8" x14ac:dyDescent="0.25">
      <c r="A12" s="14" t="s">
        <v>100</v>
      </c>
      <c r="B12" s="15" t="s">
        <v>101</v>
      </c>
      <c r="C12" s="16" t="s">
        <v>102</v>
      </c>
      <c r="D12" s="16" t="s">
        <v>33</v>
      </c>
      <c r="E12" s="16" t="s">
        <v>64</v>
      </c>
      <c r="F12" s="16" t="s">
        <v>103</v>
      </c>
      <c r="G12" s="15" t="s">
        <v>104</v>
      </c>
      <c r="H12" s="17" t="s">
        <v>66</v>
      </c>
    </row>
    <row r="13" ht="16.6" customHeight="1" spans="1:8" x14ac:dyDescent="0.25">
      <c r="A13" s="14" t="s">
        <v>105</v>
      </c>
      <c r="B13" s="15" t="s">
        <v>106</v>
      </c>
      <c r="C13" s="16" t="s">
        <v>102</v>
      </c>
      <c r="D13" s="16" t="s">
        <v>33</v>
      </c>
      <c r="E13" s="16" t="s">
        <v>64</v>
      </c>
      <c r="F13" s="16" t="s">
        <v>14</v>
      </c>
      <c r="G13" s="15" t="s">
        <v>107</v>
      </c>
      <c r="H13" s="17" t="s">
        <v>70</v>
      </c>
    </row>
    <row r="14" ht="16.6" customHeight="1" spans="1:8" x14ac:dyDescent="0.25">
      <c r="A14" s="14" t="s">
        <v>108</v>
      </c>
      <c r="B14" s="15" t="s">
        <v>109</v>
      </c>
      <c r="C14" s="16" t="s">
        <v>102</v>
      </c>
      <c r="D14" s="16" t="s">
        <v>33</v>
      </c>
      <c r="E14" s="16" t="s">
        <v>64</v>
      </c>
      <c r="F14" s="16" t="s">
        <v>14</v>
      </c>
      <c r="G14" s="15" t="s">
        <v>110</v>
      </c>
      <c r="H14" s="17" t="s">
        <v>70</v>
      </c>
    </row>
    <row r="15" ht="29.2" customHeight="1" spans="1:8" x14ac:dyDescent="0.25">
      <c r="A15" s="14" t="s">
        <v>111</v>
      </c>
      <c r="B15" s="15" t="s">
        <v>112</v>
      </c>
      <c r="C15" s="16" t="s">
        <v>102</v>
      </c>
      <c r="D15" s="16" t="s">
        <v>33</v>
      </c>
      <c r="E15" s="16" t="s">
        <v>64</v>
      </c>
      <c r="F15" s="16" t="s">
        <v>14</v>
      </c>
      <c r="G15" s="15" t="s">
        <v>113</v>
      </c>
      <c r="H15" s="17" t="s">
        <v>66</v>
      </c>
    </row>
    <row r="16" ht="16.6" customHeight="1" spans="1:8" x14ac:dyDescent="0.25">
      <c r="A16" s="14" t="s">
        <v>114</v>
      </c>
      <c r="B16" s="15" t="s">
        <v>115</v>
      </c>
      <c r="C16" s="16" t="s">
        <v>116</v>
      </c>
      <c r="D16" s="16" t="s">
        <v>34</v>
      </c>
      <c r="E16" s="16" t="s">
        <v>64</v>
      </c>
      <c r="F16" s="16" t="s">
        <v>14</v>
      </c>
      <c r="G16" s="15" t="s">
        <v>117</v>
      </c>
      <c r="H16" s="17" t="s">
        <v>66</v>
      </c>
    </row>
    <row r="17" ht="16.6" customHeight="1" spans="1:8" x14ac:dyDescent="0.25">
      <c r="A17" s="14" t="s">
        <v>118</v>
      </c>
      <c r="B17" s="15" t="s">
        <v>119</v>
      </c>
      <c r="C17" s="16" t="s">
        <v>116</v>
      </c>
      <c r="D17" s="16" t="s">
        <v>34</v>
      </c>
      <c r="E17" s="16" t="s">
        <v>64</v>
      </c>
      <c r="F17" s="16" t="s">
        <v>14</v>
      </c>
      <c r="G17" s="15" t="s">
        <v>120</v>
      </c>
      <c r="H17" s="17" t="s">
        <v>66</v>
      </c>
    </row>
    <row r="18" ht="16.6" customHeight="1" spans="1:8" x14ac:dyDescent="0.25">
      <c r="A18" s="14" t="s">
        <v>121</v>
      </c>
      <c r="B18" s="15" t="s">
        <v>122</v>
      </c>
      <c r="C18" s="16" t="s">
        <v>116</v>
      </c>
      <c r="D18" s="16" t="s">
        <v>34</v>
      </c>
      <c r="E18" s="16" t="s">
        <v>64</v>
      </c>
      <c r="F18" s="16" t="s">
        <v>123</v>
      </c>
      <c r="G18" s="15" t="s">
        <v>124</v>
      </c>
      <c r="H18" s="17" t="s">
        <v>70</v>
      </c>
    </row>
    <row r="19" ht="16.6" customHeight="1" spans="1:8" x14ac:dyDescent="0.25">
      <c r="A19" s="14" t="s">
        <v>125</v>
      </c>
      <c r="B19" s="15" t="s">
        <v>126</v>
      </c>
      <c r="C19" s="16" t="s">
        <v>127</v>
      </c>
      <c r="D19" s="16" t="s">
        <v>34</v>
      </c>
      <c r="E19" s="16" t="s">
        <v>64</v>
      </c>
      <c r="F19" s="16" t="s">
        <v>14</v>
      </c>
      <c r="G19" s="15" t="s">
        <v>128</v>
      </c>
      <c r="H19" s="17" t="s">
        <v>66</v>
      </c>
    </row>
    <row r="20" ht="16.6" customHeight="1" spans="1:8" x14ac:dyDescent="0.25">
      <c r="A20" s="14" t="s">
        <v>129</v>
      </c>
      <c r="B20" s="15" t="s">
        <v>130</v>
      </c>
      <c r="C20" s="16" t="s">
        <v>127</v>
      </c>
      <c r="D20" s="16" t="s">
        <v>34</v>
      </c>
      <c r="E20" s="16" t="s">
        <v>64</v>
      </c>
      <c r="F20" s="16" t="s">
        <v>14</v>
      </c>
      <c r="G20" s="15" t="s">
        <v>131</v>
      </c>
      <c r="H20" s="17" t="s">
        <v>70</v>
      </c>
    </row>
    <row r="21" ht="16.6" customHeight="1" spans="1:8" x14ac:dyDescent="0.25">
      <c r="A21" s="14" t="s">
        <v>132</v>
      </c>
      <c r="B21" s="15" t="s">
        <v>133</v>
      </c>
      <c r="C21" s="16" t="s">
        <v>127</v>
      </c>
      <c r="D21" s="16" t="s">
        <v>34</v>
      </c>
      <c r="E21" s="16" t="s">
        <v>64</v>
      </c>
      <c r="F21" s="16" t="s">
        <v>14</v>
      </c>
      <c r="G21" s="15" t="s">
        <v>134</v>
      </c>
      <c r="H21" s="17" t="s">
        <v>70</v>
      </c>
    </row>
    <row r="22" ht="16.6" customHeight="1" spans="1:8" x14ac:dyDescent="0.25">
      <c r="A22" s="14" t="s">
        <v>135</v>
      </c>
      <c r="B22" s="15" t="s">
        <v>136</v>
      </c>
      <c r="C22" s="16" t="s">
        <v>137</v>
      </c>
      <c r="D22" s="16" t="s">
        <v>34</v>
      </c>
      <c r="E22" s="16" t="s">
        <v>64</v>
      </c>
      <c r="F22" s="16" t="s">
        <v>14</v>
      </c>
      <c r="G22" s="15" t="s">
        <v>138</v>
      </c>
      <c r="H22" s="17" t="s">
        <v>70</v>
      </c>
    </row>
    <row r="23" ht="29.2" customHeight="1" spans="1:8" x14ac:dyDescent="0.25">
      <c r="A23" s="14" t="s">
        <v>139</v>
      </c>
      <c r="B23" s="15" t="s">
        <v>140</v>
      </c>
      <c r="C23" s="16" t="s">
        <v>141</v>
      </c>
      <c r="D23" s="16" t="s">
        <v>43</v>
      </c>
      <c r="E23" s="16" t="s">
        <v>64</v>
      </c>
      <c r="F23" s="16" t="s">
        <v>14</v>
      </c>
      <c r="G23" s="15" t="s">
        <v>142</v>
      </c>
      <c r="H23" s="17" t="s">
        <v>143</v>
      </c>
    </row>
    <row r="24" ht="29.2" customHeight="1" spans="1:8" x14ac:dyDescent="0.25">
      <c r="A24" s="14" t="s">
        <v>144</v>
      </c>
      <c r="B24" s="15" t="s">
        <v>145</v>
      </c>
      <c r="C24" s="16" t="s">
        <v>141</v>
      </c>
      <c r="D24" s="16" t="s">
        <v>43</v>
      </c>
      <c r="E24" s="16" t="s">
        <v>64</v>
      </c>
      <c r="F24" s="16" t="s">
        <v>14</v>
      </c>
      <c r="G24" s="15" t="s">
        <v>146</v>
      </c>
      <c r="H24" s="17" t="s">
        <v>147</v>
      </c>
    </row>
    <row r="25" ht="29.2" customHeight="1" spans="1:8" x14ac:dyDescent="0.25">
      <c r="A25" s="14" t="s">
        <v>148</v>
      </c>
      <c r="B25" s="15" t="s">
        <v>149</v>
      </c>
      <c r="C25" s="16" t="s">
        <v>141</v>
      </c>
      <c r="D25" s="16" t="s">
        <v>43</v>
      </c>
      <c r="E25" s="16" t="s">
        <v>64</v>
      </c>
      <c r="F25" s="16" t="s">
        <v>14</v>
      </c>
      <c r="G25" s="15" t="s">
        <v>150</v>
      </c>
      <c r="H25" s="17" t="s">
        <v>66</v>
      </c>
    </row>
    <row r="26" ht="16.6" customHeight="1" spans="1:8" x14ac:dyDescent="0.25">
      <c r="A26" s="14" t="s">
        <v>151</v>
      </c>
      <c r="B26" s="15" t="s">
        <v>152</v>
      </c>
      <c r="C26" s="16" t="s">
        <v>141</v>
      </c>
      <c r="D26" s="16" t="s">
        <v>43</v>
      </c>
      <c r="E26" s="16" t="s">
        <v>64</v>
      </c>
      <c r="F26" s="16" t="s">
        <v>14</v>
      </c>
      <c r="G26" s="15" t="s">
        <v>153</v>
      </c>
      <c r="H26" s="17" t="s">
        <v>66</v>
      </c>
    </row>
    <row r="27" ht="29.2" customHeight="1" spans="1:8" x14ac:dyDescent="0.25">
      <c r="A27" s="14" t="s">
        <v>154</v>
      </c>
      <c r="B27" s="15" t="s">
        <v>155</v>
      </c>
      <c r="C27" s="16" t="s">
        <v>141</v>
      </c>
      <c r="D27" s="16" t="s">
        <v>43</v>
      </c>
      <c r="E27" s="16" t="s">
        <v>64</v>
      </c>
      <c r="F27" s="16" t="s">
        <v>14</v>
      </c>
      <c r="G27" s="15" t="s">
        <v>156</v>
      </c>
      <c r="H27" s="17" t="s">
        <v>147</v>
      </c>
    </row>
    <row r="28" ht="16.6" customHeight="1" spans="1:8" x14ac:dyDescent="0.25">
      <c r="A28" s="14" t="s">
        <v>157</v>
      </c>
      <c r="B28" s="15" t="s">
        <v>158</v>
      </c>
      <c r="C28" s="16" t="s">
        <v>141</v>
      </c>
      <c r="D28" s="16" t="s">
        <v>43</v>
      </c>
      <c r="E28" s="16" t="s">
        <v>64</v>
      </c>
      <c r="F28" s="16" t="s">
        <v>14</v>
      </c>
      <c r="G28" s="15" t="s">
        <v>159</v>
      </c>
      <c r="H28" s="17" t="s">
        <v>70</v>
      </c>
    </row>
    <row r="29" ht="16.6" customHeight="1" spans="1:8" x14ac:dyDescent="0.25">
      <c r="A29" s="14" t="s">
        <v>160</v>
      </c>
      <c r="B29" s="15" t="s">
        <v>161</v>
      </c>
      <c r="C29" s="16" t="s">
        <v>141</v>
      </c>
      <c r="D29" s="16" t="s">
        <v>43</v>
      </c>
      <c r="E29" s="16" t="s">
        <v>162</v>
      </c>
      <c r="F29" s="16" t="s">
        <v>14</v>
      </c>
      <c r="G29" s="15" t="s">
        <v>14</v>
      </c>
      <c r="H29" s="18" t="s">
        <v>163</v>
      </c>
    </row>
    <row r="30" ht="41.8" customHeight="1" spans="1:8" x14ac:dyDescent="0.25">
      <c r="A30" s="14" t="s">
        <v>164</v>
      </c>
      <c r="B30" s="15" t="s">
        <v>165</v>
      </c>
      <c r="C30" s="16" t="s">
        <v>166</v>
      </c>
      <c r="D30" s="16" t="s">
        <v>35</v>
      </c>
      <c r="E30" s="16" t="s">
        <v>64</v>
      </c>
      <c r="F30" s="16" t="s">
        <v>14</v>
      </c>
      <c r="G30" s="15" t="s">
        <v>167</v>
      </c>
      <c r="H30" s="17" t="s">
        <v>168</v>
      </c>
    </row>
    <row r="31" ht="16.6" customHeight="1" spans="1:8" x14ac:dyDescent="0.25">
      <c r="A31" s="14" t="s">
        <v>169</v>
      </c>
      <c r="B31" s="15" t="s">
        <v>170</v>
      </c>
      <c r="C31" s="16" t="s">
        <v>166</v>
      </c>
      <c r="D31" s="16" t="s">
        <v>35</v>
      </c>
      <c r="E31" s="16" t="s">
        <v>64</v>
      </c>
      <c r="F31" s="16" t="s">
        <v>14</v>
      </c>
      <c r="G31" s="15" t="s">
        <v>171</v>
      </c>
      <c r="H31" s="17" t="s">
        <v>70</v>
      </c>
    </row>
    <row r="32" ht="16.6" customHeight="1" spans="1:8" x14ac:dyDescent="0.25">
      <c r="A32" s="14" t="s">
        <v>172</v>
      </c>
      <c r="B32" s="15" t="s">
        <v>173</v>
      </c>
      <c r="C32" s="16" t="s">
        <v>166</v>
      </c>
      <c r="D32" s="16" t="s">
        <v>35</v>
      </c>
      <c r="E32" s="16" t="s">
        <v>64</v>
      </c>
      <c r="F32" s="16" t="s">
        <v>14</v>
      </c>
      <c r="G32" s="15" t="s">
        <v>174</v>
      </c>
      <c r="H32" s="17" t="s">
        <v>70</v>
      </c>
    </row>
    <row r="33" ht="16.6" customHeight="1" spans="1:8" x14ac:dyDescent="0.25">
      <c r="A33" s="14" t="s">
        <v>175</v>
      </c>
      <c r="B33" s="15" t="s">
        <v>176</v>
      </c>
      <c r="C33" s="16" t="s">
        <v>177</v>
      </c>
      <c r="D33" s="16" t="s">
        <v>36</v>
      </c>
      <c r="E33" s="16" t="s">
        <v>64</v>
      </c>
      <c r="F33" s="16" t="s">
        <v>178</v>
      </c>
      <c r="G33" s="15" t="s">
        <v>179</v>
      </c>
      <c r="H33" s="17" t="s">
        <v>66</v>
      </c>
    </row>
    <row r="34" ht="16.6" customHeight="1" spans="1:8" x14ac:dyDescent="0.25">
      <c r="A34" s="14" t="s">
        <v>180</v>
      </c>
      <c r="B34" s="15" t="s">
        <v>181</v>
      </c>
      <c r="C34" s="16" t="s">
        <v>177</v>
      </c>
      <c r="D34" s="16" t="s">
        <v>36</v>
      </c>
      <c r="E34" s="16" t="s">
        <v>64</v>
      </c>
      <c r="F34" s="16" t="s">
        <v>14</v>
      </c>
      <c r="G34" s="15" t="s">
        <v>182</v>
      </c>
      <c r="H34" s="17" t="s">
        <v>66</v>
      </c>
    </row>
    <row r="35" ht="16.6" customHeight="1" spans="1:8" x14ac:dyDescent="0.25">
      <c r="A35" s="14" t="s">
        <v>183</v>
      </c>
      <c r="B35" s="15" t="s">
        <v>184</v>
      </c>
      <c r="C35" s="16" t="s">
        <v>177</v>
      </c>
      <c r="D35" s="16" t="s">
        <v>36</v>
      </c>
      <c r="E35" s="16" t="s">
        <v>64</v>
      </c>
      <c r="F35" s="16" t="s">
        <v>14</v>
      </c>
      <c r="G35" s="15" t="s">
        <v>185</v>
      </c>
      <c r="H35" s="17" t="s">
        <v>70</v>
      </c>
    </row>
    <row r="36" ht="16.6" customHeight="1" spans="1:8" x14ac:dyDescent="0.25">
      <c r="A36" s="14" t="s">
        <v>186</v>
      </c>
      <c r="B36" s="15" t="s">
        <v>187</v>
      </c>
      <c r="C36" s="16" t="s">
        <v>188</v>
      </c>
      <c r="D36" s="16" t="s">
        <v>36</v>
      </c>
      <c r="E36" s="16" t="s">
        <v>64</v>
      </c>
      <c r="F36" s="16" t="s">
        <v>189</v>
      </c>
      <c r="G36" s="15" t="s">
        <v>190</v>
      </c>
      <c r="H36" s="17" t="s">
        <v>70</v>
      </c>
    </row>
    <row r="37" ht="16.6" customHeight="1" spans="1:8" x14ac:dyDescent="0.25">
      <c r="A37" s="14" t="s">
        <v>191</v>
      </c>
      <c r="B37" s="15" t="s">
        <v>192</v>
      </c>
      <c r="C37" s="16" t="s">
        <v>188</v>
      </c>
      <c r="D37" s="16" t="s">
        <v>36</v>
      </c>
      <c r="E37" s="16" t="s">
        <v>64</v>
      </c>
      <c r="F37" s="16" t="s">
        <v>14</v>
      </c>
      <c r="G37" s="15" t="s">
        <v>193</v>
      </c>
      <c r="H37" s="17" t="s">
        <v>66</v>
      </c>
    </row>
    <row r="38" ht="16.6" customHeight="1" spans="1:8" x14ac:dyDescent="0.25">
      <c r="A38" s="14" t="s">
        <v>194</v>
      </c>
      <c r="B38" s="15" t="s">
        <v>195</v>
      </c>
      <c r="C38" s="16" t="s">
        <v>188</v>
      </c>
      <c r="D38" s="16" t="s">
        <v>36</v>
      </c>
      <c r="E38" s="16" t="s">
        <v>64</v>
      </c>
      <c r="F38" s="16" t="s">
        <v>14</v>
      </c>
      <c r="G38" s="15" t="s">
        <v>196</v>
      </c>
      <c r="H38" s="17" t="s">
        <v>70</v>
      </c>
    </row>
    <row r="39" ht="16.6" customHeight="1" spans="1:8" x14ac:dyDescent="0.25">
      <c r="A39" s="14" t="s">
        <v>197</v>
      </c>
      <c r="B39" s="15" t="s">
        <v>198</v>
      </c>
      <c r="C39" s="16" t="s">
        <v>188</v>
      </c>
      <c r="D39" s="16" t="s">
        <v>36</v>
      </c>
      <c r="E39" s="16" t="s">
        <v>64</v>
      </c>
      <c r="F39" s="16" t="s">
        <v>14</v>
      </c>
      <c r="G39" s="15" t="s">
        <v>199</v>
      </c>
      <c r="H39" s="17" t="s">
        <v>70</v>
      </c>
    </row>
    <row r="40" ht="16.6" customHeight="1" spans="1:8" x14ac:dyDescent="0.25">
      <c r="A40" s="14" t="s">
        <v>200</v>
      </c>
      <c r="B40" s="15" t="s">
        <v>201</v>
      </c>
      <c r="C40" s="16" t="s">
        <v>188</v>
      </c>
      <c r="D40" s="16" t="s">
        <v>36</v>
      </c>
      <c r="E40" s="16" t="s">
        <v>64</v>
      </c>
      <c r="F40" s="16" t="s">
        <v>202</v>
      </c>
      <c r="G40" s="15" t="s">
        <v>203</v>
      </c>
      <c r="H40" s="17" t="s">
        <v>70</v>
      </c>
    </row>
    <row r="41" ht="29.2" customHeight="1" spans="1:8" x14ac:dyDescent="0.25">
      <c r="A41" s="14" t="s">
        <v>204</v>
      </c>
      <c r="B41" s="15" t="s">
        <v>205</v>
      </c>
      <c r="C41" s="16" t="s">
        <v>206</v>
      </c>
      <c r="D41" s="16" t="s">
        <v>37</v>
      </c>
      <c r="E41" s="16" t="s">
        <v>64</v>
      </c>
      <c r="F41" s="16" t="s">
        <v>14</v>
      </c>
      <c r="G41" s="15" t="s">
        <v>207</v>
      </c>
      <c r="H41" s="17" t="s">
        <v>147</v>
      </c>
    </row>
    <row r="42" ht="16.6" customHeight="1" spans="1:8" x14ac:dyDescent="0.25">
      <c r="A42" s="14" t="s">
        <v>208</v>
      </c>
      <c r="B42" s="15" t="s">
        <v>209</v>
      </c>
      <c r="C42" s="16" t="s">
        <v>206</v>
      </c>
      <c r="D42" s="16" t="s">
        <v>37</v>
      </c>
      <c r="E42" s="16" t="s">
        <v>64</v>
      </c>
      <c r="F42" s="16" t="s">
        <v>210</v>
      </c>
      <c r="G42" s="15" t="s">
        <v>211</v>
      </c>
      <c r="H42" s="17" t="s">
        <v>70</v>
      </c>
    </row>
    <row r="43" ht="16.6" customHeight="1" spans="1:8" x14ac:dyDescent="0.25">
      <c r="A43" s="14" t="s">
        <v>212</v>
      </c>
      <c r="B43" s="15" t="s">
        <v>213</v>
      </c>
      <c r="C43" s="16" t="s">
        <v>214</v>
      </c>
      <c r="D43" s="16" t="s">
        <v>34</v>
      </c>
      <c r="E43" s="16" t="s">
        <v>64</v>
      </c>
      <c r="F43" s="16" t="s">
        <v>215</v>
      </c>
      <c r="G43" s="15" t="s">
        <v>216</v>
      </c>
      <c r="H43" s="17" t="s">
        <v>66</v>
      </c>
    </row>
    <row r="44" ht="16.6" customHeight="1" spans="1:8" x14ac:dyDescent="0.25">
      <c r="A44" s="14" t="s">
        <v>217</v>
      </c>
      <c r="B44" s="15" t="s">
        <v>218</v>
      </c>
      <c r="C44" s="16" t="s">
        <v>214</v>
      </c>
      <c r="D44" s="16" t="s">
        <v>34</v>
      </c>
      <c r="E44" s="16" t="s">
        <v>64</v>
      </c>
      <c r="F44" s="16" t="s">
        <v>14</v>
      </c>
      <c r="G44" s="15" t="s">
        <v>219</v>
      </c>
      <c r="H44" s="17" t="s">
        <v>70</v>
      </c>
    </row>
    <row r="45" ht="29.2" customHeight="1" spans="1:8" x14ac:dyDescent="0.25">
      <c r="A45" s="14" t="s">
        <v>220</v>
      </c>
      <c r="B45" s="15" t="s">
        <v>221</v>
      </c>
      <c r="C45" s="16" t="s">
        <v>214</v>
      </c>
      <c r="D45" s="16" t="s">
        <v>34</v>
      </c>
      <c r="E45" s="16" t="s">
        <v>64</v>
      </c>
      <c r="F45" s="16" t="s">
        <v>14</v>
      </c>
      <c r="G45" s="15" t="s">
        <v>222</v>
      </c>
      <c r="H45" s="17" t="s">
        <v>70</v>
      </c>
    </row>
    <row r="46" ht="16.6" customHeight="1" spans="1:8" x14ac:dyDescent="0.25">
      <c r="A46" s="14" t="s">
        <v>223</v>
      </c>
      <c r="B46" s="15" t="s">
        <v>224</v>
      </c>
      <c r="C46" s="16" t="s">
        <v>225</v>
      </c>
      <c r="D46" s="16" t="s">
        <v>38</v>
      </c>
      <c r="E46" s="16" t="s">
        <v>64</v>
      </c>
      <c r="F46" s="16" t="s">
        <v>226</v>
      </c>
      <c r="G46" s="15" t="s">
        <v>227</v>
      </c>
      <c r="H46" s="17" t="s">
        <v>66</v>
      </c>
    </row>
    <row r="47" ht="16.6" customHeight="1" spans="1:8" x14ac:dyDescent="0.25">
      <c r="A47" s="14" t="s">
        <v>228</v>
      </c>
      <c r="B47" s="15" t="s">
        <v>229</v>
      </c>
      <c r="C47" s="16" t="s">
        <v>225</v>
      </c>
      <c r="D47" s="16" t="s">
        <v>38</v>
      </c>
      <c r="E47" s="16" t="s">
        <v>64</v>
      </c>
      <c r="F47" s="16" t="s">
        <v>14</v>
      </c>
      <c r="G47" s="15" t="s">
        <v>230</v>
      </c>
      <c r="H47" s="17" t="s">
        <v>66</v>
      </c>
    </row>
    <row r="48" ht="16.6" customHeight="1" spans="1:8" x14ac:dyDescent="0.25">
      <c r="A48" s="14" t="s">
        <v>231</v>
      </c>
      <c r="B48" s="15" t="s">
        <v>232</v>
      </c>
      <c r="C48" s="16" t="s">
        <v>225</v>
      </c>
      <c r="D48" s="16" t="s">
        <v>38</v>
      </c>
      <c r="E48" s="16" t="s">
        <v>64</v>
      </c>
      <c r="F48" s="16" t="s">
        <v>14</v>
      </c>
      <c r="G48" s="15" t="s">
        <v>233</v>
      </c>
      <c r="H48" s="17" t="s">
        <v>70</v>
      </c>
    </row>
    <row r="49" ht="16.6" customHeight="1" spans="1:8" x14ac:dyDescent="0.25">
      <c r="A49" s="14" t="s">
        <v>234</v>
      </c>
      <c r="B49" s="15" t="s">
        <v>235</v>
      </c>
      <c r="C49" s="16" t="s">
        <v>225</v>
      </c>
      <c r="D49" s="16" t="s">
        <v>38</v>
      </c>
      <c r="E49" s="16" t="s">
        <v>64</v>
      </c>
      <c r="F49" s="16" t="s">
        <v>14</v>
      </c>
      <c r="G49" s="15" t="s">
        <v>236</v>
      </c>
      <c r="H49" s="17" t="s">
        <v>70</v>
      </c>
    </row>
    <row r="50" ht="16.6" customHeight="1" spans="1:8" x14ac:dyDescent="0.25">
      <c r="A50" s="14" t="s">
        <v>237</v>
      </c>
      <c r="B50" s="15" t="s">
        <v>238</v>
      </c>
      <c r="C50" s="16" t="s">
        <v>225</v>
      </c>
      <c r="D50" s="16" t="s">
        <v>38</v>
      </c>
      <c r="E50" s="16" t="s">
        <v>64</v>
      </c>
      <c r="F50" s="16" t="s">
        <v>14</v>
      </c>
      <c r="G50" s="15" t="s">
        <v>239</v>
      </c>
      <c r="H50" s="17" t="s">
        <v>70</v>
      </c>
    </row>
    <row r="51" ht="16.6" customHeight="1" spans="1:8" x14ac:dyDescent="0.25">
      <c r="A51" s="14" t="s">
        <v>240</v>
      </c>
      <c r="B51" s="15" t="s">
        <v>241</v>
      </c>
      <c r="C51" s="16" t="s">
        <v>242</v>
      </c>
      <c r="D51" s="16" t="s">
        <v>42</v>
      </c>
      <c r="E51" s="16" t="s">
        <v>64</v>
      </c>
      <c r="F51" s="16" t="s">
        <v>14</v>
      </c>
      <c r="G51" s="15" t="s">
        <v>243</v>
      </c>
      <c r="H51" s="17" t="s">
        <v>66</v>
      </c>
    </row>
    <row r="52" ht="16.6" customHeight="1" spans="1:8" x14ac:dyDescent="0.25">
      <c r="A52" s="14" t="s">
        <v>244</v>
      </c>
      <c r="B52" s="15" t="s">
        <v>245</v>
      </c>
      <c r="C52" s="16" t="s">
        <v>242</v>
      </c>
      <c r="D52" s="16" t="s">
        <v>42</v>
      </c>
      <c r="E52" s="16" t="s">
        <v>64</v>
      </c>
      <c r="F52" s="16" t="s">
        <v>14</v>
      </c>
      <c r="G52" s="15" t="s">
        <v>246</v>
      </c>
      <c r="H52" s="17" t="s">
        <v>66</v>
      </c>
    </row>
    <row r="53" ht="16.6" customHeight="1" spans="1:8" x14ac:dyDescent="0.25">
      <c r="A53" s="14" t="s">
        <v>247</v>
      </c>
      <c r="B53" s="15" t="s">
        <v>248</v>
      </c>
      <c r="C53" s="16" t="s">
        <v>242</v>
      </c>
      <c r="D53" s="16" t="s">
        <v>42</v>
      </c>
      <c r="E53" s="16" t="s">
        <v>64</v>
      </c>
      <c r="F53" s="16" t="s">
        <v>14</v>
      </c>
      <c r="G53" s="15" t="s">
        <v>249</v>
      </c>
      <c r="H53" s="17" t="s">
        <v>66</v>
      </c>
    </row>
    <row r="54" ht="16.6" customHeight="1" spans="1:8" x14ac:dyDescent="0.25">
      <c r="A54" s="14" t="s">
        <v>250</v>
      </c>
      <c r="B54" s="15" t="s">
        <v>251</v>
      </c>
      <c r="C54" s="16" t="s">
        <v>242</v>
      </c>
      <c r="D54" s="16" t="s">
        <v>42</v>
      </c>
      <c r="E54" s="16" t="s">
        <v>64</v>
      </c>
      <c r="F54" s="16" t="s">
        <v>14</v>
      </c>
      <c r="G54" s="15" t="s">
        <v>252</v>
      </c>
      <c r="H54" s="17" t="s">
        <v>70</v>
      </c>
    </row>
    <row r="55" ht="16.6" customHeight="1" spans="1:8" x14ac:dyDescent="0.25">
      <c r="A55" s="14" t="s">
        <v>253</v>
      </c>
      <c r="B55" s="15" t="s">
        <v>254</v>
      </c>
      <c r="C55" s="16" t="s">
        <v>255</v>
      </c>
      <c r="D55" s="16" t="s">
        <v>42</v>
      </c>
      <c r="E55" s="16" t="s">
        <v>64</v>
      </c>
      <c r="F55" s="16" t="s">
        <v>14</v>
      </c>
      <c r="G55" s="15" t="s">
        <v>256</v>
      </c>
      <c r="H55" s="17" t="s">
        <v>66</v>
      </c>
    </row>
    <row r="56" ht="16.6" customHeight="1" spans="1:8" x14ac:dyDescent="0.25">
      <c r="A56" s="14" t="s">
        <v>257</v>
      </c>
      <c r="B56" s="15" t="s">
        <v>258</v>
      </c>
      <c r="C56" s="16" t="s">
        <v>255</v>
      </c>
      <c r="D56" s="16" t="s">
        <v>42</v>
      </c>
      <c r="E56" s="16" t="s">
        <v>64</v>
      </c>
      <c r="F56" s="16" t="s">
        <v>14</v>
      </c>
      <c r="G56" s="15" t="s">
        <v>259</v>
      </c>
      <c r="H56" s="17" t="s">
        <v>66</v>
      </c>
    </row>
    <row r="57" ht="29.2" customHeight="1" spans="1:8" x14ac:dyDescent="0.25">
      <c r="A57" s="14" t="s">
        <v>260</v>
      </c>
      <c r="B57" s="15" t="s">
        <v>261</v>
      </c>
      <c r="C57" s="16" t="s">
        <v>262</v>
      </c>
      <c r="D57" s="16" t="s">
        <v>42</v>
      </c>
      <c r="E57" s="16" t="s">
        <v>64</v>
      </c>
      <c r="F57" s="16" t="s">
        <v>14</v>
      </c>
      <c r="G57" s="15" t="s">
        <v>263</v>
      </c>
      <c r="H57" s="17" t="s">
        <v>147</v>
      </c>
    </row>
    <row r="58" ht="16.6" customHeight="1" spans="1:8" x14ac:dyDescent="0.25">
      <c r="A58" s="14" t="s">
        <v>264</v>
      </c>
      <c r="B58" s="15" t="s">
        <v>265</v>
      </c>
      <c r="C58" s="16" t="s">
        <v>262</v>
      </c>
      <c r="D58" s="16" t="s">
        <v>42</v>
      </c>
      <c r="E58" s="16" t="s">
        <v>64</v>
      </c>
      <c r="F58" s="16" t="s">
        <v>14</v>
      </c>
      <c r="G58" s="15" t="s">
        <v>266</v>
      </c>
      <c r="H58" s="17" t="s">
        <v>70</v>
      </c>
    </row>
    <row r="59" ht="16.6" customHeight="1" spans="1:8" x14ac:dyDescent="0.25">
      <c r="A59" s="14" t="s">
        <v>267</v>
      </c>
      <c r="B59" s="15" t="s">
        <v>268</v>
      </c>
      <c r="C59" s="16" t="s">
        <v>262</v>
      </c>
      <c r="D59" s="16" t="s">
        <v>42</v>
      </c>
      <c r="E59" s="16" t="s">
        <v>64</v>
      </c>
      <c r="F59" s="16" t="s">
        <v>14</v>
      </c>
      <c r="G59" s="15" t="s">
        <v>269</v>
      </c>
      <c r="H59" s="17" t="s">
        <v>66</v>
      </c>
    </row>
    <row r="60" ht="16.6" customHeight="1" spans="1:8" x14ac:dyDescent="0.25">
      <c r="A60" s="14" t="s">
        <v>270</v>
      </c>
      <c r="B60" s="15" t="s">
        <v>271</v>
      </c>
      <c r="C60" s="16" t="s">
        <v>262</v>
      </c>
      <c r="D60" s="16" t="s">
        <v>42</v>
      </c>
      <c r="E60" s="16" t="s">
        <v>64</v>
      </c>
      <c r="F60" s="16" t="s">
        <v>14</v>
      </c>
      <c r="G60" s="15" t="s">
        <v>272</v>
      </c>
      <c r="H60" s="17" t="s">
        <v>66</v>
      </c>
    </row>
    <row r="61" ht="16.6" customHeight="1" spans="1:8" x14ac:dyDescent="0.25">
      <c r="A61" s="14" t="s">
        <v>273</v>
      </c>
      <c r="B61" s="15" t="s">
        <v>274</v>
      </c>
      <c r="C61" s="16" t="s">
        <v>275</v>
      </c>
      <c r="D61" s="16" t="s">
        <v>51</v>
      </c>
      <c r="E61" s="16" t="s">
        <v>64</v>
      </c>
      <c r="F61" s="16" t="s">
        <v>276</v>
      </c>
      <c r="G61" s="15" t="s">
        <v>277</v>
      </c>
      <c r="H61" s="17" t="s">
        <v>66</v>
      </c>
    </row>
    <row r="62" ht="16.6" customHeight="1" spans="1:8" x14ac:dyDescent="0.25">
      <c r="A62" s="14" t="s">
        <v>278</v>
      </c>
      <c r="B62" s="15" t="s">
        <v>279</v>
      </c>
      <c r="C62" s="16" t="s">
        <v>275</v>
      </c>
      <c r="D62" s="16" t="s">
        <v>51</v>
      </c>
      <c r="E62" s="16" t="s">
        <v>64</v>
      </c>
      <c r="F62" s="16" t="s">
        <v>280</v>
      </c>
      <c r="G62" s="15" t="s">
        <v>281</v>
      </c>
      <c r="H62" s="17" t="s">
        <v>70</v>
      </c>
    </row>
    <row r="63" ht="16.6" customHeight="1" spans="1:8" x14ac:dyDescent="0.25">
      <c r="A63" s="14" t="s">
        <v>282</v>
      </c>
      <c r="B63" s="15" t="s">
        <v>283</v>
      </c>
      <c r="C63" s="16" t="s">
        <v>275</v>
      </c>
      <c r="D63" s="16" t="s">
        <v>51</v>
      </c>
      <c r="E63" s="16" t="s">
        <v>64</v>
      </c>
      <c r="F63" s="16" t="s">
        <v>284</v>
      </c>
      <c r="G63" s="15" t="s">
        <v>285</v>
      </c>
      <c r="H63" s="17" t="s">
        <v>70</v>
      </c>
    </row>
    <row r="64" ht="29.2" customHeight="1" spans="1:8" x14ac:dyDescent="0.25">
      <c r="A64" s="14" t="s">
        <v>286</v>
      </c>
      <c r="B64" s="15" t="s">
        <v>287</v>
      </c>
      <c r="C64" s="16" t="s">
        <v>275</v>
      </c>
      <c r="D64" s="16" t="s">
        <v>44</v>
      </c>
      <c r="E64" s="16" t="s">
        <v>64</v>
      </c>
      <c r="F64" s="16" t="s">
        <v>14</v>
      </c>
      <c r="G64" s="15" t="s">
        <v>288</v>
      </c>
      <c r="H64" s="17" t="s">
        <v>70</v>
      </c>
    </row>
    <row r="65" ht="29.2" customHeight="1" spans="1:8" x14ac:dyDescent="0.25">
      <c r="A65" s="14" t="s">
        <v>289</v>
      </c>
      <c r="B65" s="15" t="s">
        <v>290</v>
      </c>
      <c r="C65" s="16" t="s">
        <v>275</v>
      </c>
      <c r="D65" s="16" t="s">
        <v>44</v>
      </c>
      <c r="E65" s="16" t="s">
        <v>64</v>
      </c>
      <c r="F65" s="16" t="s">
        <v>14</v>
      </c>
      <c r="G65" s="15" t="s">
        <v>291</v>
      </c>
      <c r="H65" s="17" t="s">
        <v>70</v>
      </c>
    </row>
    <row r="66" ht="29.2" customHeight="1" spans="1:8" x14ac:dyDescent="0.25">
      <c r="A66" s="14" t="s">
        <v>292</v>
      </c>
      <c r="B66" s="15" t="s">
        <v>293</v>
      </c>
      <c r="C66" s="16" t="s">
        <v>275</v>
      </c>
      <c r="D66" s="16" t="s">
        <v>51</v>
      </c>
      <c r="E66" s="16" t="s">
        <v>64</v>
      </c>
      <c r="F66" s="16" t="s">
        <v>14</v>
      </c>
      <c r="G66" s="15" t="s">
        <v>294</v>
      </c>
      <c r="H66" s="17" t="s">
        <v>70</v>
      </c>
    </row>
    <row r="67" ht="29.2" customHeight="1" spans="1:8" x14ac:dyDescent="0.25">
      <c r="A67" s="14" t="s">
        <v>295</v>
      </c>
      <c r="B67" s="15" t="s">
        <v>296</v>
      </c>
      <c r="C67" s="16" t="s">
        <v>297</v>
      </c>
      <c r="D67" s="16" t="s">
        <v>44</v>
      </c>
      <c r="E67" s="16" t="s">
        <v>64</v>
      </c>
      <c r="F67" s="16" t="s">
        <v>14</v>
      </c>
      <c r="G67" s="15" t="s">
        <v>298</v>
      </c>
      <c r="H67" s="17" t="s">
        <v>70</v>
      </c>
    </row>
    <row r="68" ht="29.2" customHeight="1" spans="1:8" x14ac:dyDescent="0.25">
      <c r="A68" s="14" t="s">
        <v>299</v>
      </c>
      <c r="B68" s="15" t="s">
        <v>300</v>
      </c>
      <c r="C68" s="16" t="s">
        <v>297</v>
      </c>
      <c r="D68" s="16" t="s">
        <v>44</v>
      </c>
      <c r="E68" s="16" t="s">
        <v>64</v>
      </c>
      <c r="F68" s="16" t="s">
        <v>14</v>
      </c>
      <c r="G68" s="15" t="s">
        <v>301</v>
      </c>
      <c r="H68" s="17" t="s">
        <v>70</v>
      </c>
    </row>
    <row r="69" ht="29.2" customHeight="1" spans="1:8" x14ac:dyDescent="0.25">
      <c r="A69" s="14" t="s">
        <v>302</v>
      </c>
      <c r="B69" s="15" t="s">
        <v>303</v>
      </c>
      <c r="C69" s="16" t="s">
        <v>297</v>
      </c>
      <c r="D69" s="16" t="s">
        <v>44</v>
      </c>
      <c r="E69" s="16" t="s">
        <v>64</v>
      </c>
      <c r="F69" s="16" t="s">
        <v>14</v>
      </c>
      <c r="G69" s="15" t="s">
        <v>304</v>
      </c>
      <c r="H69" s="17" t="s">
        <v>70</v>
      </c>
    </row>
    <row r="70" ht="16.6" customHeight="1" spans="1:8" x14ac:dyDescent="0.25">
      <c r="A70" s="14" t="s">
        <v>305</v>
      </c>
      <c r="B70" s="15" t="s">
        <v>306</v>
      </c>
      <c r="C70" s="16" t="s">
        <v>297</v>
      </c>
      <c r="D70" s="16" t="s">
        <v>44</v>
      </c>
      <c r="E70" s="16" t="s">
        <v>64</v>
      </c>
      <c r="F70" s="16" t="s">
        <v>14</v>
      </c>
      <c r="G70" s="15" t="s">
        <v>307</v>
      </c>
      <c r="H70" s="17" t="s">
        <v>66</v>
      </c>
    </row>
    <row r="71" ht="16.6" customHeight="1" spans="1:8" x14ac:dyDescent="0.25">
      <c r="A71" s="14" t="s">
        <v>308</v>
      </c>
      <c r="B71" s="15" t="s">
        <v>309</v>
      </c>
      <c r="C71" s="16" t="s">
        <v>297</v>
      </c>
      <c r="D71" s="16" t="s">
        <v>44</v>
      </c>
      <c r="E71" s="16" t="s">
        <v>64</v>
      </c>
      <c r="F71" s="16" t="s">
        <v>14</v>
      </c>
      <c r="G71" s="15" t="s">
        <v>310</v>
      </c>
      <c r="H71" s="17" t="s">
        <v>70</v>
      </c>
    </row>
    <row r="72" ht="16.6" customHeight="1" spans="1:8" x14ac:dyDescent="0.25">
      <c r="A72" s="14" t="s">
        <v>311</v>
      </c>
      <c r="B72" s="15" t="s">
        <v>312</v>
      </c>
      <c r="C72" s="16" t="s">
        <v>297</v>
      </c>
      <c r="D72" s="16" t="s">
        <v>48</v>
      </c>
      <c r="E72" s="16" t="s">
        <v>64</v>
      </c>
      <c r="F72" s="16" t="s">
        <v>313</v>
      </c>
      <c r="G72" s="15" t="s">
        <v>314</v>
      </c>
      <c r="H72" s="17" t="s">
        <v>66</v>
      </c>
    </row>
    <row r="73" ht="16.6" customHeight="1" spans="1:8" x14ac:dyDescent="0.25">
      <c r="A73" s="14" t="s">
        <v>315</v>
      </c>
      <c r="B73" s="15" t="s">
        <v>316</v>
      </c>
      <c r="C73" s="16" t="s">
        <v>297</v>
      </c>
      <c r="D73" s="16" t="s">
        <v>48</v>
      </c>
      <c r="E73" s="16" t="s">
        <v>64</v>
      </c>
      <c r="F73" s="16" t="s">
        <v>14</v>
      </c>
      <c r="G73" s="15" t="s">
        <v>317</v>
      </c>
      <c r="H73" s="17" t="s">
        <v>70</v>
      </c>
    </row>
    <row r="74" ht="16.6" customHeight="1" spans="1:8" x14ac:dyDescent="0.25">
      <c r="A74" s="14" t="s">
        <v>318</v>
      </c>
      <c r="B74" s="15" t="s">
        <v>319</v>
      </c>
      <c r="C74" s="16" t="s">
        <v>320</v>
      </c>
      <c r="D74" s="16" t="s">
        <v>50</v>
      </c>
      <c r="E74" s="16" t="s">
        <v>64</v>
      </c>
      <c r="F74" s="16" t="s">
        <v>321</v>
      </c>
      <c r="G74" s="15" t="s">
        <v>322</v>
      </c>
      <c r="H74" s="17" t="s">
        <v>66</v>
      </c>
    </row>
    <row r="75" ht="29.2" customHeight="1" spans="1:8" x14ac:dyDescent="0.25">
      <c r="A75" s="14" t="s">
        <v>323</v>
      </c>
      <c r="B75" s="15" t="s">
        <v>324</v>
      </c>
      <c r="C75" s="16" t="s">
        <v>320</v>
      </c>
      <c r="D75" s="16" t="s">
        <v>50</v>
      </c>
      <c r="E75" s="16" t="s">
        <v>64</v>
      </c>
      <c r="F75" s="16" t="s">
        <v>14</v>
      </c>
      <c r="G75" s="15" t="s">
        <v>325</v>
      </c>
      <c r="H75" s="17" t="s">
        <v>143</v>
      </c>
    </row>
    <row r="76" ht="16.6" customHeight="1" spans="1:8" x14ac:dyDescent="0.25">
      <c r="A76" s="14" t="s">
        <v>326</v>
      </c>
      <c r="B76" s="15" t="s">
        <v>327</v>
      </c>
      <c r="C76" s="16" t="s">
        <v>320</v>
      </c>
      <c r="D76" s="16" t="s">
        <v>51</v>
      </c>
      <c r="E76" s="16" t="s">
        <v>64</v>
      </c>
      <c r="F76" s="16" t="s">
        <v>14</v>
      </c>
      <c r="G76" s="15" t="s">
        <v>328</v>
      </c>
      <c r="H76" s="17" t="s">
        <v>70</v>
      </c>
    </row>
    <row r="77" ht="16.6" customHeight="1" spans="1:8" x14ac:dyDescent="0.25">
      <c r="A77" s="14" t="s">
        <v>329</v>
      </c>
      <c r="B77" s="15" t="s">
        <v>330</v>
      </c>
      <c r="C77" s="16" t="s">
        <v>320</v>
      </c>
      <c r="D77" s="16" t="s">
        <v>50</v>
      </c>
      <c r="E77" s="16" t="s">
        <v>64</v>
      </c>
      <c r="F77" s="16" t="s">
        <v>14</v>
      </c>
      <c r="G77" s="15" t="s">
        <v>331</v>
      </c>
      <c r="H77" s="17" t="s">
        <v>66</v>
      </c>
    </row>
    <row r="78" ht="16.6" customHeight="1" spans="1:8" x14ac:dyDescent="0.25">
      <c r="A78" s="14" t="s">
        <v>332</v>
      </c>
      <c r="B78" s="15" t="s">
        <v>333</v>
      </c>
      <c r="C78" s="16" t="s">
        <v>320</v>
      </c>
      <c r="D78" s="16" t="s">
        <v>50</v>
      </c>
      <c r="E78" s="16" t="s">
        <v>64</v>
      </c>
      <c r="F78" s="16" t="s">
        <v>14</v>
      </c>
      <c r="G78" s="15" t="s">
        <v>334</v>
      </c>
      <c r="H78" s="17" t="s">
        <v>66</v>
      </c>
    </row>
    <row r="79" ht="29.2" customHeight="1" spans="1:8" x14ac:dyDescent="0.25">
      <c r="A79" s="14" t="s">
        <v>335</v>
      </c>
      <c r="B79" s="15" t="s">
        <v>336</v>
      </c>
      <c r="C79" s="16" t="s">
        <v>320</v>
      </c>
      <c r="D79" s="16" t="s">
        <v>50</v>
      </c>
      <c r="E79" s="16" t="s">
        <v>64</v>
      </c>
      <c r="F79" s="16" t="s">
        <v>14</v>
      </c>
      <c r="G79" s="15" t="s">
        <v>337</v>
      </c>
      <c r="H79" s="17" t="s">
        <v>147</v>
      </c>
    </row>
    <row r="80" ht="16.6" customHeight="1" spans="1:8" x14ac:dyDescent="0.25">
      <c r="A80" s="14" t="s">
        <v>338</v>
      </c>
      <c r="B80" s="15" t="s">
        <v>339</v>
      </c>
      <c r="C80" s="16" t="s">
        <v>340</v>
      </c>
      <c r="D80" s="16" t="s">
        <v>46</v>
      </c>
      <c r="E80" s="16" t="s">
        <v>64</v>
      </c>
      <c r="F80" s="16" t="s">
        <v>14</v>
      </c>
      <c r="G80" s="15" t="s">
        <v>341</v>
      </c>
      <c r="H80" s="17" t="s">
        <v>70</v>
      </c>
    </row>
    <row r="81" ht="16.6" customHeight="1" spans="1:8" x14ac:dyDescent="0.25">
      <c r="A81" s="14" t="s">
        <v>342</v>
      </c>
      <c r="B81" s="15" t="s">
        <v>343</v>
      </c>
      <c r="C81" s="16" t="s">
        <v>340</v>
      </c>
      <c r="D81" s="16" t="s">
        <v>53</v>
      </c>
      <c r="E81" s="16" t="s">
        <v>64</v>
      </c>
      <c r="F81" s="16" t="s">
        <v>14</v>
      </c>
      <c r="G81" s="15" t="s">
        <v>344</v>
      </c>
      <c r="H81" s="17" t="s">
        <v>66</v>
      </c>
    </row>
    <row r="82" ht="29.2" customHeight="1" spans="1:8" x14ac:dyDescent="0.25">
      <c r="A82" s="14" t="s">
        <v>345</v>
      </c>
      <c r="B82" s="15" t="s">
        <v>346</v>
      </c>
      <c r="C82" s="16" t="s">
        <v>340</v>
      </c>
      <c r="D82" s="16" t="s">
        <v>46</v>
      </c>
      <c r="E82" s="16" t="s">
        <v>64</v>
      </c>
      <c r="F82" s="16" t="s">
        <v>347</v>
      </c>
      <c r="G82" s="15" t="s">
        <v>348</v>
      </c>
      <c r="H82" s="17" t="s">
        <v>147</v>
      </c>
    </row>
    <row r="83" ht="16.6" customHeight="1" spans="1:8" x14ac:dyDescent="0.25">
      <c r="A83" s="14" t="s">
        <v>349</v>
      </c>
      <c r="B83" s="15" t="s">
        <v>350</v>
      </c>
      <c r="C83" s="16" t="s">
        <v>340</v>
      </c>
      <c r="D83" s="16" t="s">
        <v>46</v>
      </c>
      <c r="E83" s="16" t="s">
        <v>64</v>
      </c>
      <c r="F83" s="16" t="s">
        <v>14</v>
      </c>
      <c r="G83" s="15" t="s">
        <v>351</v>
      </c>
      <c r="H83" s="17" t="s">
        <v>66</v>
      </c>
    </row>
    <row r="84" ht="16.6" customHeight="1" spans="1:8" x14ac:dyDescent="0.25">
      <c r="A84" s="14" t="s">
        <v>352</v>
      </c>
      <c r="B84" s="15" t="s">
        <v>353</v>
      </c>
      <c r="C84" s="16" t="s">
        <v>340</v>
      </c>
      <c r="D84" s="16" t="s">
        <v>46</v>
      </c>
      <c r="E84" s="16" t="s">
        <v>64</v>
      </c>
      <c r="F84" s="16" t="s">
        <v>14</v>
      </c>
      <c r="G84" s="15" t="s">
        <v>354</v>
      </c>
      <c r="H84" s="17" t="s">
        <v>70</v>
      </c>
    </row>
    <row r="85" ht="16.6" customHeight="1" spans="1:8" x14ac:dyDescent="0.25">
      <c r="A85" s="14" t="s">
        <v>355</v>
      </c>
      <c r="B85" s="15" t="s">
        <v>356</v>
      </c>
      <c r="C85" s="16" t="s">
        <v>357</v>
      </c>
      <c r="D85" s="16" t="s">
        <v>51</v>
      </c>
      <c r="E85" s="16" t="s">
        <v>64</v>
      </c>
      <c r="F85" s="16" t="s">
        <v>358</v>
      </c>
      <c r="G85" s="15" t="s">
        <v>359</v>
      </c>
      <c r="H85" s="17" t="s">
        <v>70</v>
      </c>
    </row>
    <row r="86" ht="16.6" customHeight="1" spans="1:8" x14ac:dyDescent="0.25">
      <c r="A86" s="14" t="s">
        <v>360</v>
      </c>
      <c r="B86" s="15" t="s">
        <v>361</v>
      </c>
      <c r="C86" s="16" t="s">
        <v>357</v>
      </c>
      <c r="D86" s="16" t="s">
        <v>51</v>
      </c>
      <c r="E86" s="16" t="s">
        <v>64</v>
      </c>
      <c r="F86" s="16" t="s">
        <v>362</v>
      </c>
      <c r="G86" s="15" t="s">
        <v>363</v>
      </c>
      <c r="H86" s="17" t="s">
        <v>70</v>
      </c>
    </row>
    <row r="87" ht="16.6" customHeight="1" spans="1:8" x14ac:dyDescent="0.25">
      <c r="A87" s="14" t="s">
        <v>364</v>
      </c>
      <c r="B87" s="15" t="s">
        <v>365</v>
      </c>
      <c r="C87" s="16" t="s">
        <v>357</v>
      </c>
      <c r="D87" s="16" t="s">
        <v>51</v>
      </c>
      <c r="E87" s="16" t="s">
        <v>64</v>
      </c>
      <c r="F87" s="16" t="s">
        <v>358</v>
      </c>
      <c r="G87" s="15" t="s">
        <v>366</v>
      </c>
      <c r="H87" s="17" t="s">
        <v>70</v>
      </c>
    </row>
    <row r="88" ht="16.6" customHeight="1" spans="1:8" x14ac:dyDescent="0.25">
      <c r="A88" s="14" t="s">
        <v>367</v>
      </c>
      <c r="B88" s="15" t="s">
        <v>368</v>
      </c>
      <c r="C88" s="16" t="s">
        <v>357</v>
      </c>
      <c r="D88" s="16" t="s">
        <v>51</v>
      </c>
      <c r="E88" s="16" t="s">
        <v>64</v>
      </c>
      <c r="F88" s="16" t="s">
        <v>14</v>
      </c>
      <c r="G88" s="15" t="s">
        <v>369</v>
      </c>
      <c r="H88" s="17" t="s">
        <v>70</v>
      </c>
    </row>
    <row r="89" ht="16.6" customHeight="1" spans="1:8" x14ac:dyDescent="0.25">
      <c r="A89" s="14" t="s">
        <v>370</v>
      </c>
      <c r="B89" s="15" t="s">
        <v>371</v>
      </c>
      <c r="C89" s="16" t="s">
        <v>357</v>
      </c>
      <c r="D89" s="16" t="s">
        <v>51</v>
      </c>
      <c r="E89" s="16" t="s">
        <v>64</v>
      </c>
      <c r="F89" s="16" t="s">
        <v>14</v>
      </c>
      <c r="G89" s="15" t="s">
        <v>372</v>
      </c>
      <c r="H89" s="17" t="s">
        <v>70</v>
      </c>
    </row>
    <row r="90" ht="16.6" customHeight="1" spans="1:8" x14ac:dyDescent="0.25">
      <c r="A90" s="14" t="s">
        <v>373</v>
      </c>
      <c r="B90" s="15" t="s">
        <v>374</v>
      </c>
      <c r="C90" s="16" t="s">
        <v>357</v>
      </c>
      <c r="D90" s="16" t="s">
        <v>51</v>
      </c>
      <c r="E90" s="16" t="s">
        <v>64</v>
      </c>
      <c r="F90" s="16" t="s">
        <v>362</v>
      </c>
      <c r="G90" s="15" t="s">
        <v>375</v>
      </c>
      <c r="H90" s="17" t="s">
        <v>70</v>
      </c>
    </row>
    <row r="91" ht="16.6" customHeight="1" spans="1:8" x14ac:dyDescent="0.25">
      <c r="A91" s="14" t="s">
        <v>376</v>
      </c>
      <c r="B91" s="15" t="s">
        <v>377</v>
      </c>
      <c r="C91" s="16" t="s">
        <v>357</v>
      </c>
      <c r="D91" s="16" t="s">
        <v>51</v>
      </c>
      <c r="E91" s="16" t="s">
        <v>64</v>
      </c>
      <c r="F91" s="16" t="s">
        <v>14</v>
      </c>
      <c r="G91" s="15" t="s">
        <v>378</v>
      </c>
      <c r="H91" s="17" t="s">
        <v>70</v>
      </c>
    </row>
    <row r="92" ht="16.6" customHeight="1" spans="1:8" x14ac:dyDescent="0.25">
      <c r="A92" s="14" t="s">
        <v>379</v>
      </c>
      <c r="B92" s="15" t="s">
        <v>380</v>
      </c>
      <c r="C92" s="16" t="s">
        <v>381</v>
      </c>
      <c r="D92" s="16" t="s">
        <v>49</v>
      </c>
      <c r="E92" s="16" t="s">
        <v>64</v>
      </c>
      <c r="F92" s="16" t="s">
        <v>382</v>
      </c>
      <c r="G92" s="15" t="s">
        <v>383</v>
      </c>
      <c r="H92" s="17" t="s">
        <v>66</v>
      </c>
    </row>
    <row r="93" ht="16.6" customHeight="1" spans="1:8" x14ac:dyDescent="0.25">
      <c r="A93" s="14" t="s">
        <v>384</v>
      </c>
      <c r="B93" s="15" t="s">
        <v>385</v>
      </c>
      <c r="C93" s="16" t="s">
        <v>381</v>
      </c>
      <c r="D93" s="16" t="s">
        <v>49</v>
      </c>
      <c r="E93" s="16" t="s">
        <v>64</v>
      </c>
      <c r="F93" s="16" t="s">
        <v>14</v>
      </c>
      <c r="G93" s="15" t="s">
        <v>386</v>
      </c>
      <c r="H93" s="17" t="s">
        <v>66</v>
      </c>
    </row>
    <row r="94" ht="16.6" customHeight="1" spans="1:8" x14ac:dyDescent="0.25">
      <c r="A94" s="14" t="s">
        <v>387</v>
      </c>
      <c r="B94" s="15" t="s">
        <v>388</v>
      </c>
      <c r="C94" s="16" t="s">
        <v>381</v>
      </c>
      <c r="D94" s="16" t="s">
        <v>49</v>
      </c>
      <c r="E94" s="16" t="s">
        <v>64</v>
      </c>
      <c r="F94" s="16" t="s">
        <v>389</v>
      </c>
      <c r="G94" s="15" t="s">
        <v>390</v>
      </c>
      <c r="H94" s="17" t="s">
        <v>70</v>
      </c>
    </row>
    <row r="95" ht="16.6" customHeight="1" spans="1:8" x14ac:dyDescent="0.25">
      <c r="A95" s="14" t="s">
        <v>391</v>
      </c>
      <c r="B95" s="15" t="s">
        <v>392</v>
      </c>
      <c r="C95" s="16" t="s">
        <v>393</v>
      </c>
      <c r="D95" s="16" t="s">
        <v>51</v>
      </c>
      <c r="E95" s="16" t="s">
        <v>64</v>
      </c>
      <c r="F95" s="16" t="s">
        <v>14</v>
      </c>
      <c r="G95" s="15" t="s">
        <v>394</v>
      </c>
      <c r="H95" s="17" t="s">
        <v>66</v>
      </c>
    </row>
    <row r="96" ht="16.6" customHeight="1" spans="1:8" x14ac:dyDescent="0.25">
      <c r="A96" s="14" t="s">
        <v>395</v>
      </c>
      <c r="B96" s="15" t="s">
        <v>396</v>
      </c>
      <c r="C96" s="16" t="s">
        <v>393</v>
      </c>
      <c r="D96" s="16" t="s">
        <v>51</v>
      </c>
      <c r="E96" s="16" t="s">
        <v>64</v>
      </c>
      <c r="F96" s="16" t="s">
        <v>397</v>
      </c>
      <c r="G96" s="15" t="s">
        <v>398</v>
      </c>
      <c r="H96" s="17" t="s">
        <v>66</v>
      </c>
    </row>
    <row r="97" ht="16.6" customHeight="1" spans="1:8" x14ac:dyDescent="0.25">
      <c r="A97" s="14" t="s">
        <v>399</v>
      </c>
      <c r="B97" s="15" t="s">
        <v>400</v>
      </c>
      <c r="C97" s="16" t="s">
        <v>393</v>
      </c>
      <c r="D97" s="16" t="s">
        <v>51</v>
      </c>
      <c r="E97" s="16" t="s">
        <v>64</v>
      </c>
      <c r="F97" s="16" t="s">
        <v>14</v>
      </c>
      <c r="G97" s="15" t="s">
        <v>401</v>
      </c>
      <c r="H97" s="17" t="s">
        <v>70</v>
      </c>
    </row>
    <row r="98" ht="16.6" customHeight="1" spans="1:8" x14ac:dyDescent="0.25">
      <c r="A98" s="14" t="s">
        <v>402</v>
      </c>
      <c r="B98" s="15" t="s">
        <v>403</v>
      </c>
      <c r="C98" s="16" t="s">
        <v>404</v>
      </c>
      <c r="D98" s="16" t="s">
        <v>53</v>
      </c>
      <c r="E98" s="16" t="s">
        <v>64</v>
      </c>
      <c r="F98" s="16" t="s">
        <v>14</v>
      </c>
      <c r="G98" s="15" t="s">
        <v>405</v>
      </c>
      <c r="H98" s="17" t="s">
        <v>70</v>
      </c>
    </row>
    <row r="99" ht="16.6" customHeight="1" spans="1:8" x14ac:dyDescent="0.25">
      <c r="A99" s="14" t="s">
        <v>406</v>
      </c>
      <c r="B99" s="15" t="s">
        <v>407</v>
      </c>
      <c r="C99" s="16" t="s">
        <v>404</v>
      </c>
      <c r="D99" s="16" t="s">
        <v>53</v>
      </c>
      <c r="E99" s="16" t="s">
        <v>64</v>
      </c>
      <c r="F99" s="16" t="s">
        <v>408</v>
      </c>
      <c r="G99" s="15" t="s">
        <v>409</v>
      </c>
      <c r="H99" s="17" t="s">
        <v>70</v>
      </c>
    </row>
    <row r="100" ht="16.6" customHeight="1" spans="1:8" x14ac:dyDescent="0.25">
      <c r="A100" s="14" t="s">
        <v>410</v>
      </c>
      <c r="B100" s="15" t="s">
        <v>411</v>
      </c>
      <c r="C100" s="16" t="s">
        <v>412</v>
      </c>
      <c r="D100" s="16" t="s">
        <v>51</v>
      </c>
      <c r="E100" s="16" t="s">
        <v>64</v>
      </c>
      <c r="F100" s="16" t="s">
        <v>276</v>
      </c>
      <c r="G100" s="15" t="s">
        <v>413</v>
      </c>
      <c r="H100" s="17" t="s">
        <v>66</v>
      </c>
    </row>
    <row r="101" ht="16.6" customHeight="1" spans="1:8" x14ac:dyDescent="0.25">
      <c r="A101" s="14" t="s">
        <v>414</v>
      </c>
      <c r="B101" s="15" t="s">
        <v>415</v>
      </c>
      <c r="C101" s="16" t="s">
        <v>416</v>
      </c>
      <c r="D101" s="16" t="s">
        <v>46</v>
      </c>
      <c r="E101" s="16" t="s">
        <v>64</v>
      </c>
      <c r="F101" s="16" t="s">
        <v>14</v>
      </c>
      <c r="G101" s="15" t="s">
        <v>417</v>
      </c>
      <c r="H101" s="17" t="s">
        <v>70</v>
      </c>
    </row>
    <row r="102" ht="29.2" customHeight="1" spans="1:8" x14ac:dyDescent="0.25">
      <c r="A102" s="14" t="s">
        <v>418</v>
      </c>
      <c r="B102" s="15" t="s">
        <v>419</v>
      </c>
      <c r="C102" s="16" t="s">
        <v>420</v>
      </c>
      <c r="D102" s="16" t="s">
        <v>44</v>
      </c>
      <c r="E102" s="16" t="s">
        <v>421</v>
      </c>
      <c r="F102" s="16" t="s">
        <v>14</v>
      </c>
      <c r="G102" s="15" t="s">
        <v>422</v>
      </c>
      <c r="H102" s="17" t="s">
        <v>66</v>
      </c>
    </row>
    <row r="103" ht="16.6" customHeight="1" spans="1:8" x14ac:dyDescent="0.25">
      <c r="A103" s="14" t="s">
        <v>423</v>
      </c>
      <c r="B103" s="15" t="s">
        <v>424</v>
      </c>
      <c r="C103" s="16" t="s">
        <v>420</v>
      </c>
      <c r="D103" s="16" t="s">
        <v>44</v>
      </c>
      <c r="E103" s="16" t="s">
        <v>421</v>
      </c>
      <c r="F103" s="16" t="s">
        <v>14</v>
      </c>
      <c r="G103" s="15" t="s">
        <v>425</v>
      </c>
      <c r="H103" s="17" t="s">
        <v>70</v>
      </c>
    </row>
    <row r="104" ht="29.2" customHeight="1" spans="1:8" x14ac:dyDescent="0.25">
      <c r="A104" s="14" t="s">
        <v>426</v>
      </c>
      <c r="B104" s="15" t="s">
        <v>427</v>
      </c>
      <c r="C104" s="16" t="s">
        <v>420</v>
      </c>
      <c r="D104" s="16" t="s">
        <v>44</v>
      </c>
      <c r="E104" s="16" t="s">
        <v>421</v>
      </c>
      <c r="F104" s="16" t="s">
        <v>14</v>
      </c>
      <c r="G104" s="15" t="s">
        <v>428</v>
      </c>
      <c r="H104" s="17" t="s">
        <v>66</v>
      </c>
    </row>
    <row r="105" ht="16.6" customHeight="1" spans="1:8" x14ac:dyDescent="0.25">
      <c r="A105" s="14" t="s">
        <v>429</v>
      </c>
      <c r="B105" s="15" t="s">
        <v>430</v>
      </c>
      <c r="C105" s="16" t="s">
        <v>431</v>
      </c>
      <c r="D105" s="16" t="s">
        <v>45</v>
      </c>
      <c r="E105" s="16" t="s">
        <v>421</v>
      </c>
      <c r="F105" s="16" t="s">
        <v>432</v>
      </c>
      <c r="G105" s="15" t="s">
        <v>433</v>
      </c>
      <c r="H105" s="17" t="s">
        <v>66</v>
      </c>
    </row>
    <row r="106" ht="29.2" customHeight="1" spans="1:8" x14ac:dyDescent="0.25">
      <c r="A106" s="14" t="s">
        <v>434</v>
      </c>
      <c r="B106" s="15" t="s">
        <v>435</v>
      </c>
      <c r="C106" s="16" t="s">
        <v>431</v>
      </c>
      <c r="D106" s="16" t="s">
        <v>45</v>
      </c>
      <c r="E106" s="16" t="s">
        <v>421</v>
      </c>
      <c r="F106" s="16" t="s">
        <v>14</v>
      </c>
      <c r="G106" s="15" t="s">
        <v>436</v>
      </c>
      <c r="H106" s="17" t="s">
        <v>147</v>
      </c>
    </row>
    <row r="107" ht="29.2" customHeight="1" spans="1:8" x14ac:dyDescent="0.25">
      <c r="A107" s="14" t="s">
        <v>437</v>
      </c>
      <c r="B107" s="15" t="s">
        <v>438</v>
      </c>
      <c r="C107" s="16" t="s">
        <v>431</v>
      </c>
      <c r="D107" s="16" t="s">
        <v>45</v>
      </c>
      <c r="E107" s="16" t="s">
        <v>421</v>
      </c>
      <c r="F107" s="16" t="s">
        <v>14</v>
      </c>
      <c r="G107" s="15" t="s">
        <v>439</v>
      </c>
      <c r="H107" s="17" t="s">
        <v>143</v>
      </c>
    </row>
    <row r="108" ht="29.2" customHeight="1" spans="1:8" x14ac:dyDescent="0.25">
      <c r="A108" s="14" t="s">
        <v>440</v>
      </c>
      <c r="B108" s="15" t="s">
        <v>441</v>
      </c>
      <c r="C108" s="16" t="s">
        <v>442</v>
      </c>
      <c r="D108" s="16" t="s">
        <v>46</v>
      </c>
      <c r="E108" s="16" t="s">
        <v>421</v>
      </c>
      <c r="F108" s="16" t="s">
        <v>443</v>
      </c>
      <c r="G108" s="15" t="s">
        <v>444</v>
      </c>
      <c r="H108" s="17" t="s">
        <v>143</v>
      </c>
    </row>
    <row r="109" ht="41.8" customHeight="1" spans="1:8" x14ac:dyDescent="0.25">
      <c r="A109" s="14" t="s">
        <v>445</v>
      </c>
      <c r="B109" s="15" t="s">
        <v>446</v>
      </c>
      <c r="C109" s="16" t="s">
        <v>442</v>
      </c>
      <c r="D109" s="16" t="s">
        <v>46</v>
      </c>
      <c r="E109" s="16" t="s">
        <v>421</v>
      </c>
      <c r="F109" s="16" t="s">
        <v>447</v>
      </c>
      <c r="G109" s="15" t="s">
        <v>448</v>
      </c>
      <c r="H109" s="17" t="s">
        <v>70</v>
      </c>
    </row>
    <row r="110" ht="16.6" customHeight="1" spans="1:8" x14ac:dyDescent="0.25">
      <c r="A110" s="14" t="s">
        <v>449</v>
      </c>
      <c r="B110" s="15" t="s">
        <v>450</v>
      </c>
      <c r="C110" s="16" t="s">
        <v>442</v>
      </c>
      <c r="D110" s="16" t="s">
        <v>46</v>
      </c>
      <c r="E110" s="16" t="s">
        <v>421</v>
      </c>
      <c r="F110" s="16" t="s">
        <v>14</v>
      </c>
      <c r="G110" s="15" t="s">
        <v>451</v>
      </c>
      <c r="H110" s="17" t="s">
        <v>66</v>
      </c>
    </row>
    <row r="111" ht="29.2" customHeight="1" spans="1:8" x14ac:dyDescent="0.25">
      <c r="A111" s="14" t="s">
        <v>452</v>
      </c>
      <c r="B111" s="15" t="s">
        <v>453</v>
      </c>
      <c r="C111" s="16" t="s">
        <v>454</v>
      </c>
      <c r="D111" s="16" t="s">
        <v>47</v>
      </c>
      <c r="E111" s="16" t="s">
        <v>421</v>
      </c>
      <c r="F111" s="16" t="s">
        <v>14</v>
      </c>
      <c r="G111" s="15" t="s">
        <v>455</v>
      </c>
      <c r="H111" s="17" t="s">
        <v>147</v>
      </c>
    </row>
    <row r="112" ht="29.2" customHeight="1" spans="1:8" x14ac:dyDescent="0.25">
      <c r="A112" s="14" t="s">
        <v>456</v>
      </c>
      <c r="B112" s="15" t="s">
        <v>457</v>
      </c>
      <c r="C112" s="16" t="s">
        <v>454</v>
      </c>
      <c r="D112" s="16" t="s">
        <v>47</v>
      </c>
      <c r="E112" s="16" t="s">
        <v>421</v>
      </c>
      <c r="F112" s="16" t="s">
        <v>458</v>
      </c>
      <c r="G112" s="15" t="s">
        <v>459</v>
      </c>
      <c r="H112" s="17" t="s">
        <v>147</v>
      </c>
    </row>
    <row r="113" ht="16.6" customHeight="1" spans="1:8" x14ac:dyDescent="0.25">
      <c r="A113" s="14" t="s">
        <v>460</v>
      </c>
      <c r="B113" s="15" t="s">
        <v>461</v>
      </c>
      <c r="C113" s="16" t="s">
        <v>454</v>
      </c>
      <c r="D113" s="16" t="s">
        <v>47</v>
      </c>
      <c r="E113" s="16" t="s">
        <v>421</v>
      </c>
      <c r="F113" s="16" t="s">
        <v>14</v>
      </c>
      <c r="G113" s="15" t="s">
        <v>462</v>
      </c>
      <c r="H113" s="17" t="s">
        <v>70</v>
      </c>
    </row>
    <row r="114" ht="29.2" customHeight="1" spans="1:8" x14ac:dyDescent="0.25">
      <c r="A114" s="14" t="s">
        <v>463</v>
      </c>
      <c r="B114" s="15" t="s">
        <v>464</v>
      </c>
      <c r="C114" s="16" t="s">
        <v>465</v>
      </c>
      <c r="D114" s="16" t="s">
        <v>47</v>
      </c>
      <c r="E114" s="16" t="s">
        <v>421</v>
      </c>
      <c r="F114" s="16" t="s">
        <v>14</v>
      </c>
      <c r="G114" s="15" t="s">
        <v>466</v>
      </c>
      <c r="H114" s="17" t="s">
        <v>147</v>
      </c>
    </row>
    <row r="115" ht="29.2" customHeight="1" spans="1:8" x14ac:dyDescent="0.25">
      <c r="A115" s="14" t="s">
        <v>467</v>
      </c>
      <c r="B115" s="15" t="s">
        <v>468</v>
      </c>
      <c r="C115" s="16" t="s">
        <v>465</v>
      </c>
      <c r="D115" s="16" t="s">
        <v>47</v>
      </c>
      <c r="E115" s="16" t="s">
        <v>421</v>
      </c>
      <c r="F115" s="16" t="s">
        <v>14</v>
      </c>
      <c r="G115" s="15" t="s">
        <v>469</v>
      </c>
      <c r="H115" s="17" t="s">
        <v>147</v>
      </c>
    </row>
    <row r="116" ht="16.6" customHeight="1" spans="1:8" x14ac:dyDescent="0.25">
      <c r="A116" s="14" t="s">
        <v>470</v>
      </c>
      <c r="B116" s="15" t="s">
        <v>471</v>
      </c>
      <c r="C116" s="16" t="s">
        <v>472</v>
      </c>
      <c r="D116" s="16" t="s">
        <v>44</v>
      </c>
      <c r="E116" s="16" t="s">
        <v>421</v>
      </c>
      <c r="F116" s="16" t="s">
        <v>473</v>
      </c>
      <c r="G116" s="15" t="s">
        <v>474</v>
      </c>
      <c r="H116" s="17" t="s">
        <v>70</v>
      </c>
    </row>
    <row r="117" ht="16.6" customHeight="1" spans="1:8" x14ac:dyDescent="0.25">
      <c r="A117" s="14" t="s">
        <v>475</v>
      </c>
      <c r="B117" s="15" t="s">
        <v>476</v>
      </c>
      <c r="C117" s="16" t="s">
        <v>472</v>
      </c>
      <c r="D117" s="16" t="s">
        <v>44</v>
      </c>
      <c r="E117" s="16" t="s">
        <v>421</v>
      </c>
      <c r="F117" s="16" t="s">
        <v>14</v>
      </c>
      <c r="G117" s="15" t="s">
        <v>477</v>
      </c>
      <c r="H117" s="17" t="s">
        <v>70</v>
      </c>
    </row>
    <row r="118" ht="16.6" customHeight="1" spans="1:8" x14ac:dyDescent="0.25">
      <c r="A118" s="14" t="s">
        <v>478</v>
      </c>
      <c r="B118" s="15" t="s">
        <v>479</v>
      </c>
      <c r="C118" s="16" t="s">
        <v>480</v>
      </c>
      <c r="D118" s="16" t="s">
        <v>44</v>
      </c>
      <c r="E118" s="16" t="s">
        <v>421</v>
      </c>
      <c r="F118" s="16" t="s">
        <v>14</v>
      </c>
      <c r="G118" s="15" t="s">
        <v>481</v>
      </c>
      <c r="H118" s="17" t="s">
        <v>70</v>
      </c>
    </row>
    <row r="119" ht="16.6" customHeight="1" spans="1:8" x14ac:dyDescent="0.25">
      <c r="A119" s="14" t="s">
        <v>482</v>
      </c>
      <c r="B119" s="15" t="s">
        <v>483</v>
      </c>
      <c r="C119" s="16" t="s">
        <v>480</v>
      </c>
      <c r="D119" s="16" t="s">
        <v>44</v>
      </c>
      <c r="E119" s="16" t="s">
        <v>421</v>
      </c>
      <c r="F119" s="16" t="s">
        <v>14</v>
      </c>
      <c r="G119" s="15" t="s">
        <v>484</v>
      </c>
      <c r="H119" s="17" t="s">
        <v>70</v>
      </c>
    </row>
    <row r="120" ht="29.2" customHeight="1" spans="1:8" x14ac:dyDescent="0.25">
      <c r="A120" s="14" t="s">
        <v>485</v>
      </c>
      <c r="B120" s="15" t="s">
        <v>486</v>
      </c>
      <c r="C120" s="16" t="s">
        <v>480</v>
      </c>
      <c r="D120" s="16" t="s">
        <v>44</v>
      </c>
      <c r="E120" s="16" t="s">
        <v>421</v>
      </c>
      <c r="F120" s="16" t="s">
        <v>14</v>
      </c>
      <c r="G120" s="15" t="s">
        <v>487</v>
      </c>
      <c r="H120" s="17" t="s">
        <v>70</v>
      </c>
    </row>
    <row r="121" ht="16.6" customHeight="1" spans="1:8" x14ac:dyDescent="0.25">
      <c r="A121" s="14" t="s">
        <v>488</v>
      </c>
      <c r="B121" s="15" t="s">
        <v>489</v>
      </c>
      <c r="C121" s="16" t="s">
        <v>490</v>
      </c>
      <c r="D121" s="16" t="s">
        <v>47</v>
      </c>
      <c r="E121" s="16" t="s">
        <v>421</v>
      </c>
      <c r="F121" s="16" t="s">
        <v>14</v>
      </c>
      <c r="G121" s="15" t="s">
        <v>491</v>
      </c>
      <c r="H121" s="17" t="s">
        <v>70</v>
      </c>
    </row>
    <row r="122" ht="16.6" customHeight="1" spans="1:8" x14ac:dyDescent="0.25">
      <c r="A122" s="14" t="s">
        <v>492</v>
      </c>
      <c r="B122" s="15" t="s">
        <v>493</v>
      </c>
      <c r="C122" s="16" t="s">
        <v>490</v>
      </c>
      <c r="D122" s="16" t="s">
        <v>47</v>
      </c>
      <c r="E122" s="16" t="s">
        <v>421</v>
      </c>
      <c r="F122" s="16" t="s">
        <v>397</v>
      </c>
      <c r="G122" s="15" t="s">
        <v>494</v>
      </c>
      <c r="H122" s="17" t="s">
        <v>70</v>
      </c>
    </row>
    <row r="123" ht="16.6" customHeight="1" spans="1:8" x14ac:dyDescent="0.25">
      <c r="A123" s="14" t="s">
        <v>495</v>
      </c>
      <c r="B123" s="15" t="s">
        <v>496</v>
      </c>
      <c r="C123" s="16" t="s">
        <v>497</v>
      </c>
      <c r="D123" s="16" t="s">
        <v>46</v>
      </c>
      <c r="E123" s="16" t="s">
        <v>498</v>
      </c>
      <c r="F123" s="16" t="s">
        <v>499</v>
      </c>
      <c r="G123" s="15" t="s">
        <v>500</v>
      </c>
      <c r="H123" s="17" t="s">
        <v>70</v>
      </c>
    </row>
    <row r="124" ht="16.6" customHeight="1" spans="1:8" x14ac:dyDescent="0.25">
      <c r="A124" s="14" t="s">
        <v>501</v>
      </c>
      <c r="B124" s="15" t="s">
        <v>502</v>
      </c>
      <c r="C124" s="16" t="s">
        <v>497</v>
      </c>
      <c r="D124" s="16" t="s">
        <v>46</v>
      </c>
      <c r="E124" s="16" t="s">
        <v>498</v>
      </c>
      <c r="F124" s="16" t="s">
        <v>14</v>
      </c>
      <c r="G124" s="15" t="s">
        <v>503</v>
      </c>
      <c r="H124" s="17" t="s">
        <v>70</v>
      </c>
    </row>
    <row r="125" ht="16.6" customHeight="1" spans="1:8" x14ac:dyDescent="0.25">
      <c r="A125" s="14" t="s">
        <v>504</v>
      </c>
      <c r="B125" s="15" t="s">
        <v>505</v>
      </c>
      <c r="C125" s="16" t="s">
        <v>497</v>
      </c>
      <c r="D125" s="16" t="s">
        <v>46</v>
      </c>
      <c r="E125" s="16" t="s">
        <v>498</v>
      </c>
      <c r="F125" s="16" t="s">
        <v>14</v>
      </c>
      <c r="G125" s="15" t="s">
        <v>506</v>
      </c>
      <c r="H125" s="17" t="s">
        <v>70</v>
      </c>
    </row>
    <row r="126" ht="16.6" customHeight="1" spans="1:8" x14ac:dyDescent="0.25">
      <c r="A126" s="14" t="s">
        <v>507</v>
      </c>
      <c r="B126" s="15" t="s">
        <v>508</v>
      </c>
      <c r="C126" s="16" t="s">
        <v>497</v>
      </c>
      <c r="D126" s="16" t="s">
        <v>46</v>
      </c>
      <c r="E126" s="16" t="s">
        <v>498</v>
      </c>
      <c r="F126" s="16" t="s">
        <v>14</v>
      </c>
      <c r="G126" s="15" t="s">
        <v>509</v>
      </c>
      <c r="H126" s="17" t="s">
        <v>70</v>
      </c>
    </row>
    <row r="127" ht="16.6" customHeight="1" spans="1:8" x14ac:dyDescent="0.25">
      <c r="A127" s="14" t="s">
        <v>510</v>
      </c>
      <c r="B127" s="15" t="s">
        <v>511</v>
      </c>
      <c r="C127" s="16" t="s">
        <v>497</v>
      </c>
      <c r="D127" s="16" t="s">
        <v>46</v>
      </c>
      <c r="E127" s="16" t="s">
        <v>162</v>
      </c>
      <c r="F127" s="16" t="s">
        <v>14</v>
      </c>
      <c r="G127" s="15" t="s">
        <v>14</v>
      </c>
      <c r="H127" s="18" t="s">
        <v>163</v>
      </c>
    </row>
    <row r="128" ht="16.6" customHeight="1" spans="1:8" x14ac:dyDescent="0.25">
      <c r="A128" s="14" t="s">
        <v>512</v>
      </c>
      <c r="B128" s="15" t="s">
        <v>513</v>
      </c>
      <c r="C128" s="16" t="s">
        <v>497</v>
      </c>
      <c r="D128" s="16" t="s">
        <v>47</v>
      </c>
      <c r="E128" s="16" t="s">
        <v>64</v>
      </c>
      <c r="F128" s="16" t="s">
        <v>14</v>
      </c>
      <c r="G128" s="15" t="s">
        <v>514</v>
      </c>
      <c r="H128" s="17" t="s">
        <v>66</v>
      </c>
    </row>
    <row r="129" ht="16.6" customHeight="1" spans="1:8" x14ac:dyDescent="0.25">
      <c r="A129" s="14" t="s">
        <v>515</v>
      </c>
      <c r="B129" s="15" t="s">
        <v>516</v>
      </c>
      <c r="C129" s="16" t="s">
        <v>497</v>
      </c>
      <c r="D129" s="16" t="s">
        <v>47</v>
      </c>
      <c r="E129" s="16" t="s">
        <v>64</v>
      </c>
      <c r="F129" s="16" t="s">
        <v>14</v>
      </c>
      <c r="G129" s="15" t="s">
        <v>517</v>
      </c>
      <c r="H129" s="17" t="s">
        <v>70</v>
      </c>
    </row>
    <row r="130" ht="16.6" customHeight="1" spans="1:8" x14ac:dyDescent="0.25">
      <c r="A130" s="14" t="s">
        <v>518</v>
      </c>
      <c r="B130" s="15" t="s">
        <v>519</v>
      </c>
      <c r="C130" s="16" t="s">
        <v>497</v>
      </c>
      <c r="D130" s="16" t="s">
        <v>46</v>
      </c>
      <c r="E130" s="16" t="s">
        <v>64</v>
      </c>
      <c r="F130" s="16" t="s">
        <v>14</v>
      </c>
      <c r="G130" s="15" t="s">
        <v>520</v>
      </c>
      <c r="H130" s="17" t="s">
        <v>70</v>
      </c>
    </row>
    <row r="131" ht="16.6" customHeight="1" spans="1:8" x14ac:dyDescent="0.25">
      <c r="A131" s="14" t="s">
        <v>521</v>
      </c>
      <c r="B131" s="15" t="s">
        <v>522</v>
      </c>
      <c r="C131" s="16" t="s">
        <v>523</v>
      </c>
      <c r="D131" s="16" t="s">
        <v>47</v>
      </c>
      <c r="E131" s="16" t="s">
        <v>64</v>
      </c>
      <c r="F131" s="16" t="s">
        <v>14</v>
      </c>
      <c r="G131" s="15" t="s">
        <v>524</v>
      </c>
      <c r="H131" s="17" t="s">
        <v>70</v>
      </c>
    </row>
    <row r="132" ht="16.6" customHeight="1" spans="1:8" x14ac:dyDescent="0.25">
      <c r="A132" s="14" t="s">
        <v>525</v>
      </c>
      <c r="B132" s="15" t="s">
        <v>526</v>
      </c>
      <c r="C132" s="16" t="s">
        <v>523</v>
      </c>
      <c r="D132" s="16" t="s">
        <v>47</v>
      </c>
      <c r="E132" s="16" t="s">
        <v>64</v>
      </c>
      <c r="F132" s="16" t="s">
        <v>14</v>
      </c>
      <c r="G132" s="15" t="s">
        <v>527</v>
      </c>
      <c r="H132" s="17" t="s">
        <v>70</v>
      </c>
    </row>
    <row r="133" ht="16.6" customHeight="1" spans="1:8" x14ac:dyDescent="0.25">
      <c r="A133" s="14" t="s">
        <v>528</v>
      </c>
      <c r="B133" s="15" t="s">
        <v>529</v>
      </c>
      <c r="C133" s="16" t="s">
        <v>523</v>
      </c>
      <c r="D133" s="16" t="s">
        <v>47</v>
      </c>
      <c r="E133" s="16" t="s">
        <v>64</v>
      </c>
      <c r="F133" s="16" t="s">
        <v>14</v>
      </c>
      <c r="G133" s="15" t="s">
        <v>530</v>
      </c>
      <c r="H133" s="17" t="s">
        <v>70</v>
      </c>
    </row>
    <row r="134" ht="16.6" customHeight="1" spans="1:8" x14ac:dyDescent="0.25">
      <c r="A134" s="14" t="s">
        <v>531</v>
      </c>
      <c r="B134" s="15" t="s">
        <v>532</v>
      </c>
      <c r="C134" s="16" t="s">
        <v>523</v>
      </c>
      <c r="D134" s="16" t="s">
        <v>47</v>
      </c>
      <c r="E134" s="16" t="s">
        <v>64</v>
      </c>
      <c r="F134" s="16" t="s">
        <v>14</v>
      </c>
      <c r="G134" s="15" t="s">
        <v>533</v>
      </c>
      <c r="H134" s="17" t="s">
        <v>70</v>
      </c>
    </row>
    <row r="135" ht="16.6" customHeight="1" spans="1:8" x14ac:dyDescent="0.25">
      <c r="A135" s="14" t="s">
        <v>534</v>
      </c>
      <c r="B135" s="15" t="s">
        <v>535</v>
      </c>
      <c r="C135" s="16" t="s">
        <v>523</v>
      </c>
      <c r="D135" s="16" t="s">
        <v>47</v>
      </c>
      <c r="E135" s="16" t="s">
        <v>64</v>
      </c>
      <c r="F135" s="16" t="s">
        <v>14</v>
      </c>
      <c r="G135" s="15" t="s">
        <v>536</v>
      </c>
      <c r="H135" s="17" t="s">
        <v>66</v>
      </c>
    </row>
    <row r="136" ht="16.6" customHeight="1" spans="1:8" x14ac:dyDescent="0.25">
      <c r="A136" s="14" t="s">
        <v>537</v>
      </c>
      <c r="B136" s="15" t="s">
        <v>538</v>
      </c>
      <c r="C136" s="16" t="s">
        <v>539</v>
      </c>
      <c r="D136" s="16" t="s">
        <v>53</v>
      </c>
      <c r="E136" s="16" t="s">
        <v>64</v>
      </c>
      <c r="F136" s="16" t="s">
        <v>14</v>
      </c>
      <c r="G136" s="15" t="s">
        <v>540</v>
      </c>
      <c r="H136" s="17" t="s">
        <v>70</v>
      </c>
    </row>
    <row r="137" ht="16.6" customHeight="1" spans="1:8" x14ac:dyDescent="0.25">
      <c r="A137" s="14" t="s">
        <v>541</v>
      </c>
      <c r="B137" s="15" t="s">
        <v>542</v>
      </c>
      <c r="C137" s="16" t="s">
        <v>539</v>
      </c>
      <c r="D137" s="16" t="s">
        <v>53</v>
      </c>
      <c r="E137" s="16" t="s">
        <v>64</v>
      </c>
      <c r="F137" s="16" t="s">
        <v>14</v>
      </c>
      <c r="G137" s="15" t="s">
        <v>543</v>
      </c>
      <c r="H137" s="17" t="s">
        <v>70</v>
      </c>
    </row>
    <row r="138" ht="16.6" customHeight="1" spans="1:8" x14ac:dyDescent="0.25">
      <c r="A138" s="14" t="s">
        <v>544</v>
      </c>
      <c r="B138" s="15" t="s">
        <v>545</v>
      </c>
      <c r="C138" s="16" t="s">
        <v>539</v>
      </c>
      <c r="D138" s="16" t="s">
        <v>53</v>
      </c>
      <c r="E138" s="16" t="s">
        <v>64</v>
      </c>
      <c r="F138" s="16" t="s">
        <v>14</v>
      </c>
      <c r="G138" s="15" t="s">
        <v>546</v>
      </c>
      <c r="H138" s="17" t="s">
        <v>66</v>
      </c>
    </row>
    <row r="139" ht="16.6" customHeight="1" spans="1:8" x14ac:dyDescent="0.25">
      <c r="A139" s="14" t="s">
        <v>547</v>
      </c>
      <c r="B139" s="15" t="s">
        <v>548</v>
      </c>
      <c r="C139" s="16" t="s">
        <v>539</v>
      </c>
      <c r="D139" s="16" t="s">
        <v>53</v>
      </c>
      <c r="E139" s="16" t="s">
        <v>64</v>
      </c>
      <c r="F139" s="16" t="s">
        <v>362</v>
      </c>
      <c r="G139" s="15" t="s">
        <v>549</v>
      </c>
      <c r="H139" s="17" t="s">
        <v>70</v>
      </c>
    </row>
    <row r="140" ht="16.6" customHeight="1" spans="1:8" x14ac:dyDescent="0.25">
      <c r="A140" s="14" t="s">
        <v>550</v>
      </c>
      <c r="B140" s="15" t="s">
        <v>551</v>
      </c>
      <c r="C140" s="16" t="s">
        <v>552</v>
      </c>
      <c r="D140" s="16" t="s">
        <v>53</v>
      </c>
      <c r="E140" s="16" t="s">
        <v>64</v>
      </c>
      <c r="F140" s="16" t="s">
        <v>14</v>
      </c>
      <c r="G140" s="15" t="s">
        <v>553</v>
      </c>
      <c r="H140" s="17" t="s">
        <v>66</v>
      </c>
    </row>
    <row r="141" ht="16.6" customHeight="1" spans="1:8" x14ac:dyDescent="0.25">
      <c r="A141" s="14" t="s">
        <v>554</v>
      </c>
      <c r="B141" s="15" t="s">
        <v>555</v>
      </c>
      <c r="C141" s="16" t="s">
        <v>552</v>
      </c>
      <c r="D141" s="16" t="s">
        <v>53</v>
      </c>
      <c r="E141" s="16" t="s">
        <v>64</v>
      </c>
      <c r="F141" s="16" t="s">
        <v>556</v>
      </c>
      <c r="G141" s="15" t="s">
        <v>557</v>
      </c>
      <c r="H141" s="17" t="s">
        <v>70</v>
      </c>
    </row>
    <row r="142" ht="16.6" customHeight="1" spans="1:8" x14ac:dyDescent="0.25">
      <c r="A142" s="14" t="s">
        <v>558</v>
      </c>
      <c r="B142" s="15" t="s">
        <v>559</v>
      </c>
      <c r="C142" s="16" t="s">
        <v>552</v>
      </c>
      <c r="D142" s="16" t="s">
        <v>53</v>
      </c>
      <c r="E142" s="16" t="s">
        <v>64</v>
      </c>
      <c r="F142" s="16" t="s">
        <v>560</v>
      </c>
      <c r="G142" s="15" t="s">
        <v>561</v>
      </c>
      <c r="H142" s="17" t="s">
        <v>70</v>
      </c>
    </row>
    <row r="143" ht="16.6" customHeight="1" spans="1:8" x14ac:dyDescent="0.25">
      <c r="A143" s="14" t="s">
        <v>562</v>
      </c>
      <c r="B143" s="15" t="s">
        <v>563</v>
      </c>
      <c r="C143" s="16" t="s">
        <v>564</v>
      </c>
      <c r="D143" s="16" t="s">
        <v>50</v>
      </c>
      <c r="E143" s="16" t="s">
        <v>64</v>
      </c>
      <c r="F143" s="16" t="s">
        <v>14</v>
      </c>
      <c r="G143" s="15" t="s">
        <v>565</v>
      </c>
      <c r="H143" s="17" t="s">
        <v>66</v>
      </c>
    </row>
    <row r="144" ht="16.6" customHeight="1" spans="1:8" x14ac:dyDescent="0.25">
      <c r="A144" s="14" t="s">
        <v>566</v>
      </c>
      <c r="B144" s="15" t="s">
        <v>567</v>
      </c>
      <c r="C144" s="16" t="s">
        <v>564</v>
      </c>
      <c r="D144" s="16" t="s">
        <v>50</v>
      </c>
      <c r="E144" s="16" t="s">
        <v>64</v>
      </c>
      <c r="F144" s="16" t="s">
        <v>14</v>
      </c>
      <c r="G144" s="15" t="s">
        <v>568</v>
      </c>
      <c r="H144" s="17" t="s">
        <v>70</v>
      </c>
    </row>
    <row r="145" ht="16.6" customHeight="1" spans="1:8" x14ac:dyDescent="0.25">
      <c r="A145" s="14" t="s">
        <v>569</v>
      </c>
      <c r="B145" s="15" t="s">
        <v>570</v>
      </c>
      <c r="C145" s="16" t="s">
        <v>571</v>
      </c>
      <c r="D145" s="16" t="s">
        <v>49</v>
      </c>
      <c r="E145" s="16" t="s">
        <v>64</v>
      </c>
      <c r="F145" s="16" t="s">
        <v>14</v>
      </c>
      <c r="G145" s="15" t="s">
        <v>572</v>
      </c>
      <c r="H145" s="17" t="s">
        <v>66</v>
      </c>
    </row>
    <row r="146" ht="16.6" customHeight="1" spans="1:8" x14ac:dyDescent="0.25">
      <c r="A146" s="14" t="s">
        <v>573</v>
      </c>
      <c r="B146" s="15" t="s">
        <v>574</v>
      </c>
      <c r="C146" s="16" t="s">
        <v>571</v>
      </c>
      <c r="D146" s="16" t="s">
        <v>49</v>
      </c>
      <c r="E146" s="16" t="s">
        <v>64</v>
      </c>
      <c r="F146" s="16" t="s">
        <v>14</v>
      </c>
      <c r="G146" s="15" t="s">
        <v>575</v>
      </c>
      <c r="H146" s="17" t="s">
        <v>70</v>
      </c>
    </row>
    <row r="147" ht="29.2" customHeight="1" spans="1:8" x14ac:dyDescent="0.25">
      <c r="A147" s="14" t="s">
        <v>576</v>
      </c>
      <c r="B147" s="15" t="s">
        <v>577</v>
      </c>
      <c r="C147" s="16" t="s">
        <v>578</v>
      </c>
      <c r="D147" s="16" t="s">
        <v>50</v>
      </c>
      <c r="E147" s="16" t="s">
        <v>421</v>
      </c>
      <c r="F147" s="16" t="s">
        <v>579</v>
      </c>
      <c r="G147" s="15" t="s">
        <v>580</v>
      </c>
      <c r="H147" s="17" t="s">
        <v>147</v>
      </c>
    </row>
    <row r="148" ht="16.6" customHeight="1" spans="1:8" x14ac:dyDescent="0.25">
      <c r="A148" s="14" t="s">
        <v>581</v>
      </c>
      <c r="B148" s="15" t="s">
        <v>582</v>
      </c>
      <c r="C148" s="16" t="s">
        <v>578</v>
      </c>
      <c r="D148" s="16" t="s">
        <v>50</v>
      </c>
      <c r="E148" s="16" t="s">
        <v>421</v>
      </c>
      <c r="F148" s="16" t="s">
        <v>14</v>
      </c>
      <c r="G148" s="15" t="s">
        <v>583</v>
      </c>
      <c r="H148" s="17" t="s">
        <v>70</v>
      </c>
    </row>
    <row r="149" ht="16.6" customHeight="1" spans="1:8" x14ac:dyDescent="0.25">
      <c r="A149" s="14" t="s">
        <v>584</v>
      </c>
      <c r="B149" s="15" t="s">
        <v>585</v>
      </c>
      <c r="C149" s="16" t="s">
        <v>578</v>
      </c>
      <c r="D149" s="16" t="s">
        <v>50</v>
      </c>
      <c r="E149" s="16" t="s">
        <v>421</v>
      </c>
      <c r="F149" s="16" t="s">
        <v>14</v>
      </c>
      <c r="G149" s="15" t="s">
        <v>586</v>
      </c>
      <c r="H149" s="17" t="s">
        <v>66</v>
      </c>
    </row>
    <row r="150" ht="16.6" customHeight="1" spans="1:8" x14ac:dyDescent="0.25">
      <c r="A150" s="14" t="s">
        <v>587</v>
      </c>
      <c r="B150" s="15" t="s">
        <v>588</v>
      </c>
      <c r="C150" s="16" t="s">
        <v>589</v>
      </c>
      <c r="D150" s="16" t="s">
        <v>49</v>
      </c>
      <c r="E150" s="16" t="s">
        <v>421</v>
      </c>
      <c r="F150" s="16" t="s">
        <v>590</v>
      </c>
      <c r="G150" s="15" t="s">
        <v>591</v>
      </c>
      <c r="H150" s="17" t="s">
        <v>66</v>
      </c>
    </row>
    <row r="151" ht="16.6" customHeight="1" spans="1:8" x14ac:dyDescent="0.25">
      <c r="A151" s="14" t="s">
        <v>592</v>
      </c>
      <c r="B151" s="15" t="s">
        <v>593</v>
      </c>
      <c r="C151" s="16" t="s">
        <v>589</v>
      </c>
      <c r="D151" s="16" t="s">
        <v>49</v>
      </c>
      <c r="E151" s="16" t="s">
        <v>421</v>
      </c>
      <c r="F151" s="16" t="s">
        <v>590</v>
      </c>
      <c r="G151" s="15" t="s">
        <v>594</v>
      </c>
      <c r="H151" s="17" t="s">
        <v>70</v>
      </c>
    </row>
    <row r="152" ht="16.6" customHeight="1" spans="1:8" x14ac:dyDescent="0.25">
      <c r="A152" s="14" t="s">
        <v>595</v>
      </c>
      <c r="B152" s="15" t="s">
        <v>596</v>
      </c>
      <c r="C152" s="16" t="s">
        <v>589</v>
      </c>
      <c r="D152" s="16" t="s">
        <v>49</v>
      </c>
      <c r="E152" s="16" t="s">
        <v>421</v>
      </c>
      <c r="F152" s="16" t="s">
        <v>597</v>
      </c>
      <c r="G152" s="15" t="s">
        <v>598</v>
      </c>
      <c r="H152" s="17" t="s">
        <v>70</v>
      </c>
    </row>
    <row r="153" ht="16.6" customHeight="1" spans="1:8" x14ac:dyDescent="0.25">
      <c r="A153" s="14" t="s">
        <v>599</v>
      </c>
      <c r="B153" s="15" t="s">
        <v>600</v>
      </c>
      <c r="C153" s="16" t="s">
        <v>589</v>
      </c>
      <c r="D153" s="16" t="s">
        <v>49</v>
      </c>
      <c r="E153" s="16" t="s">
        <v>421</v>
      </c>
      <c r="F153" s="16" t="s">
        <v>601</v>
      </c>
      <c r="G153" s="15" t="s">
        <v>602</v>
      </c>
      <c r="H153" s="17" t="s">
        <v>70</v>
      </c>
    </row>
    <row r="154" ht="16.6" customHeight="1" spans="1:8" x14ac:dyDescent="0.25">
      <c r="A154" s="14" t="s">
        <v>603</v>
      </c>
      <c r="B154" s="15" t="s">
        <v>604</v>
      </c>
      <c r="C154" s="16" t="s">
        <v>589</v>
      </c>
      <c r="D154" s="16" t="s">
        <v>49</v>
      </c>
      <c r="E154" s="16" t="s">
        <v>421</v>
      </c>
      <c r="F154" s="16" t="s">
        <v>14</v>
      </c>
      <c r="G154" s="15" t="s">
        <v>605</v>
      </c>
      <c r="H154" s="17" t="s">
        <v>70</v>
      </c>
    </row>
    <row r="155" ht="16.6" customHeight="1" spans="1:8" x14ac:dyDescent="0.25">
      <c r="A155" s="14" t="s">
        <v>606</v>
      </c>
      <c r="B155" s="15" t="s">
        <v>607</v>
      </c>
      <c r="C155" s="16" t="s">
        <v>589</v>
      </c>
      <c r="D155" s="16" t="s">
        <v>49</v>
      </c>
      <c r="E155" s="16" t="s">
        <v>421</v>
      </c>
      <c r="F155" s="16" t="s">
        <v>590</v>
      </c>
      <c r="G155" s="15" t="s">
        <v>608</v>
      </c>
      <c r="H155" s="17" t="s">
        <v>70</v>
      </c>
    </row>
    <row r="156" ht="16.6" customHeight="1" spans="1:8" x14ac:dyDescent="0.25">
      <c r="A156" s="14" t="s">
        <v>609</v>
      </c>
      <c r="B156" s="15" t="s">
        <v>610</v>
      </c>
      <c r="C156" s="16" t="s">
        <v>589</v>
      </c>
      <c r="D156" s="16" t="s">
        <v>49</v>
      </c>
      <c r="E156" s="16" t="s">
        <v>421</v>
      </c>
      <c r="F156" s="16" t="s">
        <v>14</v>
      </c>
      <c r="G156" s="15" t="s">
        <v>611</v>
      </c>
      <c r="H156" s="17" t="s">
        <v>70</v>
      </c>
    </row>
    <row r="157" ht="16.6" customHeight="1" spans="1:8" x14ac:dyDescent="0.25">
      <c r="A157" s="14" t="s">
        <v>612</v>
      </c>
      <c r="B157" s="15" t="s">
        <v>613</v>
      </c>
      <c r="C157" s="16" t="s">
        <v>614</v>
      </c>
      <c r="D157" s="16" t="s">
        <v>37</v>
      </c>
      <c r="E157" s="16" t="s">
        <v>64</v>
      </c>
      <c r="F157" s="16" t="s">
        <v>615</v>
      </c>
      <c r="G157" s="15" t="s">
        <v>616</v>
      </c>
      <c r="H157" s="17" t="s">
        <v>66</v>
      </c>
    </row>
    <row r="158" ht="16.6" customHeight="1" spans="1:8" x14ac:dyDescent="0.25">
      <c r="A158" s="14" t="s">
        <v>617</v>
      </c>
      <c r="B158" s="15" t="s">
        <v>618</v>
      </c>
      <c r="C158" s="16" t="s">
        <v>614</v>
      </c>
      <c r="D158" s="16" t="s">
        <v>37</v>
      </c>
      <c r="E158" s="16" t="s">
        <v>64</v>
      </c>
      <c r="F158" s="16" t="s">
        <v>619</v>
      </c>
      <c r="G158" s="15" t="s">
        <v>620</v>
      </c>
      <c r="H158" s="17" t="s">
        <v>70</v>
      </c>
    </row>
    <row r="159" ht="16.6" customHeight="1" spans="1:8" x14ac:dyDescent="0.25">
      <c r="A159" s="14" t="s">
        <v>621</v>
      </c>
      <c r="B159" s="15" t="s">
        <v>622</v>
      </c>
      <c r="C159" s="16" t="s">
        <v>614</v>
      </c>
      <c r="D159" s="16" t="s">
        <v>37</v>
      </c>
      <c r="E159" s="16" t="s">
        <v>64</v>
      </c>
      <c r="F159" s="16" t="s">
        <v>14</v>
      </c>
      <c r="G159" s="15" t="s">
        <v>623</v>
      </c>
      <c r="H159" s="17" t="s">
        <v>66</v>
      </c>
    </row>
    <row r="160" ht="29.2" customHeight="1" spans="1:8" x14ac:dyDescent="0.25">
      <c r="A160" s="14" t="s">
        <v>624</v>
      </c>
      <c r="B160" s="15" t="s">
        <v>625</v>
      </c>
      <c r="C160" s="16" t="s">
        <v>614</v>
      </c>
      <c r="D160" s="16" t="s">
        <v>49</v>
      </c>
      <c r="E160" s="16" t="s">
        <v>64</v>
      </c>
      <c r="F160" s="16" t="s">
        <v>14</v>
      </c>
      <c r="G160" s="15" t="s">
        <v>626</v>
      </c>
      <c r="H160" s="17" t="s">
        <v>147</v>
      </c>
    </row>
    <row r="161" ht="16.6" customHeight="1" spans="1:8" x14ac:dyDescent="0.25">
      <c r="A161" s="14" t="s">
        <v>627</v>
      </c>
      <c r="B161" s="15" t="s">
        <v>628</v>
      </c>
      <c r="C161" s="16" t="s">
        <v>614</v>
      </c>
      <c r="D161" s="16" t="s">
        <v>49</v>
      </c>
      <c r="E161" s="16" t="s">
        <v>64</v>
      </c>
      <c r="F161" s="16" t="s">
        <v>14</v>
      </c>
      <c r="G161" s="15" t="s">
        <v>629</v>
      </c>
      <c r="H161" s="17" t="s">
        <v>66</v>
      </c>
    </row>
    <row r="162" ht="16.6" customHeight="1" spans="1:8" x14ac:dyDescent="0.25">
      <c r="A162" s="14" t="s">
        <v>630</v>
      </c>
      <c r="B162" s="15" t="s">
        <v>631</v>
      </c>
      <c r="C162" s="16" t="s">
        <v>614</v>
      </c>
      <c r="D162" s="16" t="s">
        <v>49</v>
      </c>
      <c r="E162" s="16" t="s">
        <v>64</v>
      </c>
      <c r="F162" s="16" t="s">
        <v>14</v>
      </c>
      <c r="G162" s="15" t="s">
        <v>632</v>
      </c>
      <c r="H162" s="17" t="s">
        <v>70</v>
      </c>
    </row>
    <row r="163" ht="16.6" customHeight="1" spans="1:8" x14ac:dyDescent="0.25">
      <c r="A163" s="14" t="s">
        <v>633</v>
      </c>
      <c r="B163" s="15" t="s">
        <v>634</v>
      </c>
      <c r="C163" s="16" t="s">
        <v>635</v>
      </c>
      <c r="D163" s="16" t="s">
        <v>49</v>
      </c>
      <c r="E163" s="16" t="s">
        <v>636</v>
      </c>
      <c r="F163" s="16" t="s">
        <v>14</v>
      </c>
      <c r="G163" s="15" t="s">
        <v>637</v>
      </c>
      <c r="H163" s="17" t="s">
        <v>70</v>
      </c>
    </row>
    <row r="164" ht="16.6" customHeight="1" spans="1:8" x14ac:dyDescent="0.25">
      <c r="A164" s="14" t="s">
        <v>638</v>
      </c>
      <c r="B164" s="15" t="s">
        <v>639</v>
      </c>
      <c r="C164" s="16" t="s">
        <v>635</v>
      </c>
      <c r="D164" s="16" t="s">
        <v>49</v>
      </c>
      <c r="E164" s="16" t="s">
        <v>636</v>
      </c>
      <c r="F164" s="16" t="s">
        <v>640</v>
      </c>
      <c r="G164" s="15" t="s">
        <v>641</v>
      </c>
      <c r="H164" s="17" t="s">
        <v>70</v>
      </c>
    </row>
    <row r="165" ht="29.2" customHeight="1" spans="1:8" x14ac:dyDescent="0.25">
      <c r="A165" s="14" t="s">
        <v>642</v>
      </c>
      <c r="B165" s="15" t="s">
        <v>643</v>
      </c>
      <c r="C165" s="16" t="s">
        <v>644</v>
      </c>
      <c r="D165" s="16" t="s">
        <v>39</v>
      </c>
      <c r="E165" s="16" t="s">
        <v>64</v>
      </c>
      <c r="F165" s="16" t="s">
        <v>14</v>
      </c>
      <c r="G165" s="15" t="s">
        <v>645</v>
      </c>
      <c r="H165" s="17" t="s">
        <v>143</v>
      </c>
    </row>
    <row r="166" ht="16.6" customHeight="1" spans="1:8" x14ac:dyDescent="0.25">
      <c r="A166" s="14" t="s">
        <v>646</v>
      </c>
      <c r="B166" s="15" t="s">
        <v>647</v>
      </c>
      <c r="C166" s="16" t="s">
        <v>644</v>
      </c>
      <c r="D166" s="16" t="s">
        <v>39</v>
      </c>
      <c r="E166" s="16" t="s">
        <v>64</v>
      </c>
      <c r="F166" s="16" t="s">
        <v>14</v>
      </c>
      <c r="G166" s="15" t="s">
        <v>648</v>
      </c>
      <c r="H166" s="17" t="s">
        <v>66</v>
      </c>
    </row>
    <row r="167" ht="16.6" customHeight="1" spans="1:8" x14ac:dyDescent="0.25">
      <c r="A167" s="14" t="s">
        <v>649</v>
      </c>
      <c r="B167" s="15" t="s">
        <v>650</v>
      </c>
      <c r="C167" s="16" t="s">
        <v>651</v>
      </c>
      <c r="D167" s="16" t="s">
        <v>49</v>
      </c>
      <c r="E167" s="16" t="s">
        <v>162</v>
      </c>
      <c r="F167" s="16" t="s">
        <v>14</v>
      </c>
      <c r="G167" s="15" t="s">
        <v>14</v>
      </c>
      <c r="H167" s="18" t="s">
        <v>163</v>
      </c>
    </row>
    <row r="168" ht="29.2" customHeight="1" spans="1:8" x14ac:dyDescent="0.25">
      <c r="A168" s="14" t="s">
        <v>652</v>
      </c>
      <c r="B168" s="15" t="s">
        <v>653</v>
      </c>
      <c r="C168" s="16" t="s">
        <v>654</v>
      </c>
      <c r="D168" s="16" t="s">
        <v>52</v>
      </c>
      <c r="E168" s="16" t="s">
        <v>64</v>
      </c>
      <c r="F168" s="16" t="s">
        <v>655</v>
      </c>
      <c r="G168" s="15" t="s">
        <v>656</v>
      </c>
      <c r="H168" s="17" t="s">
        <v>147</v>
      </c>
    </row>
    <row r="169" ht="16.6" customHeight="1" spans="1:8" x14ac:dyDescent="0.25">
      <c r="A169" s="14" t="s">
        <v>657</v>
      </c>
      <c r="B169" s="15" t="s">
        <v>658</v>
      </c>
      <c r="C169" s="16" t="s">
        <v>654</v>
      </c>
      <c r="D169" s="16" t="s">
        <v>52</v>
      </c>
      <c r="E169" s="16" t="s">
        <v>64</v>
      </c>
      <c r="F169" s="16" t="s">
        <v>659</v>
      </c>
      <c r="G169" s="15" t="s">
        <v>660</v>
      </c>
      <c r="H169" s="17" t="s">
        <v>66</v>
      </c>
    </row>
    <row r="170" ht="16.6" customHeight="1" spans="1:8" x14ac:dyDescent="0.25">
      <c r="A170" s="14" t="s">
        <v>661</v>
      </c>
      <c r="B170" s="15" t="s">
        <v>662</v>
      </c>
      <c r="C170" s="16" t="s">
        <v>654</v>
      </c>
      <c r="D170" s="16" t="s">
        <v>52</v>
      </c>
      <c r="E170" s="16" t="s">
        <v>64</v>
      </c>
      <c r="F170" s="16" t="s">
        <v>14</v>
      </c>
      <c r="G170" s="15" t="s">
        <v>663</v>
      </c>
      <c r="H170" s="17" t="s">
        <v>70</v>
      </c>
    </row>
    <row r="171" ht="16.6" customHeight="1" spans="1:8" x14ac:dyDescent="0.25">
      <c r="A171" s="14" t="s">
        <v>664</v>
      </c>
      <c r="B171" s="15" t="s">
        <v>665</v>
      </c>
      <c r="C171" s="16" t="s">
        <v>654</v>
      </c>
      <c r="D171" s="16" t="s">
        <v>52</v>
      </c>
      <c r="E171" s="16" t="s">
        <v>64</v>
      </c>
      <c r="F171" s="16" t="s">
        <v>14</v>
      </c>
      <c r="G171" s="15" t="s">
        <v>666</v>
      </c>
      <c r="H171" s="17" t="s">
        <v>66</v>
      </c>
    </row>
    <row r="172" ht="16.6" customHeight="1" spans="1:8" x14ac:dyDescent="0.25">
      <c r="A172" s="14" t="s">
        <v>667</v>
      </c>
      <c r="B172" s="15" t="s">
        <v>668</v>
      </c>
      <c r="C172" s="16" t="s">
        <v>654</v>
      </c>
      <c r="D172" s="16" t="s">
        <v>52</v>
      </c>
      <c r="E172" s="16" t="s">
        <v>64</v>
      </c>
      <c r="F172" s="16" t="s">
        <v>14</v>
      </c>
      <c r="G172" s="15" t="s">
        <v>669</v>
      </c>
      <c r="H172" s="17" t="s">
        <v>70</v>
      </c>
    </row>
    <row r="173" ht="16.6" customHeight="1" spans="1:8" x14ac:dyDescent="0.25">
      <c r="A173" s="14" t="s">
        <v>670</v>
      </c>
      <c r="B173" s="15" t="s">
        <v>671</v>
      </c>
      <c r="C173" s="16" t="s">
        <v>672</v>
      </c>
      <c r="D173" s="16" t="s">
        <v>39</v>
      </c>
      <c r="E173" s="16" t="s">
        <v>64</v>
      </c>
      <c r="F173" s="16" t="s">
        <v>14</v>
      </c>
      <c r="G173" s="15" t="s">
        <v>673</v>
      </c>
      <c r="H173" s="17" t="s">
        <v>66</v>
      </c>
    </row>
    <row r="174" ht="16.6" customHeight="1" spans="1:8" x14ac:dyDescent="0.25">
      <c r="A174" s="14" t="s">
        <v>674</v>
      </c>
      <c r="B174" s="15" t="s">
        <v>675</v>
      </c>
      <c r="C174" s="16" t="s">
        <v>672</v>
      </c>
      <c r="D174" s="16" t="s">
        <v>39</v>
      </c>
      <c r="E174" s="16" t="s">
        <v>64</v>
      </c>
      <c r="F174" s="16" t="s">
        <v>14</v>
      </c>
      <c r="G174" s="15" t="s">
        <v>676</v>
      </c>
      <c r="H174" s="17" t="s">
        <v>66</v>
      </c>
    </row>
    <row r="175" ht="41.8" customHeight="1" spans="1:8" x14ac:dyDescent="0.25">
      <c r="A175" s="14" t="s">
        <v>677</v>
      </c>
      <c r="B175" s="15" t="s">
        <v>40</v>
      </c>
      <c r="C175" s="16" t="s">
        <v>678</v>
      </c>
      <c r="D175" s="16" t="s">
        <v>40</v>
      </c>
      <c r="E175" s="16" t="s">
        <v>64</v>
      </c>
      <c r="F175" s="16" t="s">
        <v>14</v>
      </c>
      <c r="G175" s="15" t="s">
        <v>679</v>
      </c>
      <c r="H175" s="17" t="s">
        <v>680</v>
      </c>
    </row>
    <row r="176" ht="16.6" customHeight="1" spans="1:8" x14ac:dyDescent="0.25">
      <c r="A176" s="14" t="s">
        <v>681</v>
      </c>
      <c r="B176" s="15" t="s">
        <v>682</v>
      </c>
      <c r="C176" s="16" t="s">
        <v>678</v>
      </c>
      <c r="D176" s="16" t="s">
        <v>52</v>
      </c>
      <c r="E176" s="16" t="s">
        <v>64</v>
      </c>
      <c r="F176" s="16" t="s">
        <v>14</v>
      </c>
      <c r="G176" s="15" t="s">
        <v>683</v>
      </c>
      <c r="H176" s="17" t="s">
        <v>70</v>
      </c>
    </row>
    <row r="177" ht="16.6" customHeight="1" spans="1:8" x14ac:dyDescent="0.25">
      <c r="A177" s="14" t="s">
        <v>684</v>
      </c>
      <c r="B177" s="15" t="s">
        <v>685</v>
      </c>
      <c r="C177" s="16" t="s">
        <v>678</v>
      </c>
      <c r="D177" s="16" t="s">
        <v>52</v>
      </c>
      <c r="E177" s="16" t="s">
        <v>64</v>
      </c>
      <c r="F177" s="16" t="s">
        <v>14</v>
      </c>
      <c r="G177" s="15" t="s">
        <v>686</v>
      </c>
      <c r="H177" s="17" t="s">
        <v>66</v>
      </c>
    </row>
    <row r="178" ht="16.6" customHeight="1" spans="1:8" x14ac:dyDescent="0.25">
      <c r="A178" s="14" t="s">
        <v>687</v>
      </c>
      <c r="B178" s="15" t="s">
        <v>688</v>
      </c>
      <c r="C178" s="16" t="s">
        <v>678</v>
      </c>
      <c r="D178" s="16" t="s">
        <v>40</v>
      </c>
      <c r="E178" s="16" t="s">
        <v>64</v>
      </c>
      <c r="F178" s="16" t="s">
        <v>14</v>
      </c>
      <c r="G178" s="15" t="s">
        <v>689</v>
      </c>
      <c r="H178" s="17" t="s">
        <v>66</v>
      </c>
    </row>
    <row r="179" ht="29.2" customHeight="1" spans="1:8" x14ac:dyDescent="0.25">
      <c r="A179" s="14" t="s">
        <v>690</v>
      </c>
      <c r="B179" s="15" t="s">
        <v>691</v>
      </c>
      <c r="C179" s="16" t="s">
        <v>678</v>
      </c>
      <c r="D179" s="16" t="s">
        <v>52</v>
      </c>
      <c r="E179" s="16" t="s">
        <v>64</v>
      </c>
      <c r="F179" s="16" t="s">
        <v>659</v>
      </c>
      <c r="G179" s="15" t="s">
        <v>692</v>
      </c>
      <c r="H179" s="17" t="s">
        <v>147</v>
      </c>
    </row>
    <row r="180" ht="16.6" customHeight="1" spans="1:8" x14ac:dyDescent="0.25">
      <c r="A180" s="14" t="s">
        <v>693</v>
      </c>
      <c r="B180" s="15" t="s">
        <v>694</v>
      </c>
      <c r="C180" s="16" t="s">
        <v>678</v>
      </c>
      <c r="D180" s="16" t="s">
        <v>52</v>
      </c>
      <c r="E180" s="16" t="s">
        <v>64</v>
      </c>
      <c r="F180" s="16" t="s">
        <v>14</v>
      </c>
      <c r="G180" s="15" t="s">
        <v>695</v>
      </c>
      <c r="H180" s="17" t="s">
        <v>66</v>
      </c>
    </row>
    <row r="181" ht="16.6" customHeight="1" spans="1:8" x14ac:dyDescent="0.25">
      <c r="A181" s="14" t="s">
        <v>696</v>
      </c>
      <c r="B181" s="15" t="s">
        <v>697</v>
      </c>
      <c r="C181" s="16" t="s">
        <v>678</v>
      </c>
      <c r="D181" s="16" t="s">
        <v>52</v>
      </c>
      <c r="E181" s="16" t="s">
        <v>64</v>
      </c>
      <c r="F181" s="16" t="s">
        <v>14</v>
      </c>
      <c r="G181" s="15" t="s">
        <v>698</v>
      </c>
      <c r="H181" s="17" t="s">
        <v>66</v>
      </c>
    </row>
    <row r="182" ht="16.6" customHeight="1" spans="1:8" x14ac:dyDescent="0.25">
      <c r="A182" s="14" t="s">
        <v>699</v>
      </c>
      <c r="B182" s="15" t="s">
        <v>700</v>
      </c>
      <c r="C182" s="16" t="s">
        <v>701</v>
      </c>
      <c r="D182" s="16" t="s">
        <v>52</v>
      </c>
      <c r="E182" s="16" t="s">
        <v>162</v>
      </c>
      <c r="F182" s="16" t="s">
        <v>14</v>
      </c>
      <c r="G182" s="15" t="s">
        <v>14</v>
      </c>
      <c r="H182" s="18" t="s">
        <v>163</v>
      </c>
    </row>
    <row r="183" ht="16.6" customHeight="1" spans="1:8" x14ac:dyDescent="0.25">
      <c r="A183" s="14" t="s">
        <v>702</v>
      </c>
      <c r="B183" s="15" t="s">
        <v>703</v>
      </c>
      <c r="C183" s="16" t="s">
        <v>704</v>
      </c>
      <c r="D183" s="16" t="s">
        <v>41</v>
      </c>
      <c r="E183" s="16" t="s">
        <v>64</v>
      </c>
      <c r="F183" s="16" t="s">
        <v>14</v>
      </c>
      <c r="G183" s="15" t="s">
        <v>705</v>
      </c>
      <c r="H183" s="17" t="s">
        <v>66</v>
      </c>
    </row>
    <row r="184" ht="16.6" customHeight="1" spans="1:8" x14ac:dyDescent="0.25">
      <c r="A184" s="14" t="s">
        <v>706</v>
      </c>
      <c r="B184" s="15" t="s">
        <v>707</v>
      </c>
      <c r="C184" s="16" t="s">
        <v>704</v>
      </c>
      <c r="D184" s="16" t="s">
        <v>41</v>
      </c>
      <c r="E184" s="16" t="s">
        <v>64</v>
      </c>
      <c r="F184" s="16" t="s">
        <v>14</v>
      </c>
      <c r="G184" s="15" t="s">
        <v>708</v>
      </c>
      <c r="H184" s="17" t="s">
        <v>66</v>
      </c>
    </row>
    <row r="185" ht="16.6" customHeight="1" spans="1:8" x14ac:dyDescent="0.25">
      <c r="A185" s="14" t="s">
        <v>709</v>
      </c>
      <c r="B185" s="15" t="s">
        <v>710</v>
      </c>
      <c r="C185" s="16" t="s">
        <v>704</v>
      </c>
      <c r="D185" s="16" t="s">
        <v>41</v>
      </c>
      <c r="E185" s="16" t="s">
        <v>64</v>
      </c>
      <c r="F185" s="16" t="s">
        <v>14</v>
      </c>
      <c r="G185" s="15" t="s">
        <v>711</v>
      </c>
      <c r="H185" s="17" t="s">
        <v>66</v>
      </c>
    </row>
    <row r="186" ht="16.6" customHeight="1" spans="1:8" x14ac:dyDescent="0.25">
      <c r="A186" s="14" t="s">
        <v>712</v>
      </c>
      <c r="B186" s="15" t="s">
        <v>713</v>
      </c>
      <c r="C186" s="16" t="s">
        <v>714</v>
      </c>
      <c r="D186" s="16" t="s">
        <v>41</v>
      </c>
      <c r="E186" s="16" t="s">
        <v>64</v>
      </c>
      <c r="F186" s="16" t="s">
        <v>14</v>
      </c>
      <c r="G186" s="15" t="s">
        <v>715</v>
      </c>
      <c r="H186" s="17" t="s">
        <v>66</v>
      </c>
    </row>
    <row r="187" ht="29.2" customHeight="1" spans="1:8" x14ac:dyDescent="0.25">
      <c r="A187" s="14" t="s">
        <v>716</v>
      </c>
      <c r="B187" s="15" t="s">
        <v>717</v>
      </c>
      <c r="C187" s="16" t="s">
        <v>714</v>
      </c>
      <c r="D187" s="16" t="s">
        <v>41</v>
      </c>
      <c r="E187" s="16" t="s">
        <v>64</v>
      </c>
      <c r="F187" s="16" t="s">
        <v>14</v>
      </c>
      <c r="G187" s="15" t="s">
        <v>718</v>
      </c>
      <c r="H187" s="17" t="s">
        <v>147</v>
      </c>
    </row>
    <row r="188" ht="16.6" customHeight="1" spans="1:8" x14ac:dyDescent="0.25">
      <c r="A188" s="14" t="s">
        <v>719</v>
      </c>
      <c r="B188" s="15" t="s">
        <v>720</v>
      </c>
      <c r="C188" s="16" t="s">
        <v>714</v>
      </c>
      <c r="D188" s="16" t="s">
        <v>41</v>
      </c>
      <c r="E188" s="16" t="s">
        <v>64</v>
      </c>
      <c r="F188" s="16" t="s">
        <v>14</v>
      </c>
      <c r="G188" s="15" t="s">
        <v>721</v>
      </c>
      <c r="H188" s="17" t="s">
        <v>70</v>
      </c>
    </row>
    <row r="189" ht="16.6" customHeight="1" spans="1:8" x14ac:dyDescent="0.25">
      <c r="A189" s="14" t="s">
        <v>722</v>
      </c>
      <c r="B189" s="15" t="s">
        <v>723</v>
      </c>
      <c r="C189" s="16" t="s">
        <v>714</v>
      </c>
      <c r="D189" s="16" t="s">
        <v>41</v>
      </c>
      <c r="E189" s="16" t="s">
        <v>64</v>
      </c>
      <c r="F189" s="16" t="s">
        <v>14</v>
      </c>
      <c r="G189" s="15" t="s">
        <v>724</v>
      </c>
      <c r="H189" s="17" t="s">
        <v>70</v>
      </c>
    </row>
    <row r="190" ht="16.6" customHeight="1" spans="1:8" x14ac:dyDescent="0.25">
      <c r="A190" s="14" t="s">
        <v>725</v>
      </c>
      <c r="B190" s="15" t="s">
        <v>726</v>
      </c>
      <c r="C190" s="16" t="s">
        <v>714</v>
      </c>
      <c r="D190" s="16" t="s">
        <v>41</v>
      </c>
      <c r="E190" s="16" t="s">
        <v>64</v>
      </c>
      <c r="F190" s="16" t="s">
        <v>590</v>
      </c>
      <c r="G190" s="15" t="s">
        <v>727</v>
      </c>
      <c r="H190" s="17" t="s">
        <v>66</v>
      </c>
    </row>
    <row r="191" ht="16.6" customHeight="1" spans="1:8" x14ac:dyDescent="0.25">
      <c r="A191" s="14" t="s">
        <v>728</v>
      </c>
      <c r="B191" s="15" t="s">
        <v>729</v>
      </c>
      <c r="C191" s="16" t="s">
        <v>714</v>
      </c>
      <c r="D191" s="16" t="s">
        <v>41</v>
      </c>
      <c r="E191" s="16" t="s">
        <v>64</v>
      </c>
      <c r="F191" s="16" t="s">
        <v>14</v>
      </c>
      <c r="G191" s="15" t="s">
        <v>730</v>
      </c>
      <c r="H191" s="17" t="s">
        <v>66</v>
      </c>
    </row>
    <row r="192" ht="16.6" customHeight="1" spans="1:8" x14ac:dyDescent="0.25">
      <c r="A192" s="14" t="s">
        <v>731</v>
      </c>
      <c r="B192" s="15" t="s">
        <v>732</v>
      </c>
      <c r="C192" s="16" t="s">
        <v>733</v>
      </c>
      <c r="D192" s="16" t="s">
        <v>41</v>
      </c>
      <c r="E192" s="16" t="s">
        <v>64</v>
      </c>
      <c r="F192" s="16" t="s">
        <v>14</v>
      </c>
      <c r="G192" s="15" t="s">
        <v>734</v>
      </c>
      <c r="H192" s="17" t="s">
        <v>66</v>
      </c>
    </row>
    <row r="193" ht="16.6" customHeight="1" spans="1:8" x14ac:dyDescent="0.25">
      <c r="A193" s="14" t="s">
        <v>735</v>
      </c>
      <c r="B193" s="15" t="s">
        <v>736</v>
      </c>
      <c r="C193" s="16" t="s">
        <v>737</v>
      </c>
      <c r="D193" s="16" t="s">
        <v>41</v>
      </c>
      <c r="E193" s="16" t="s">
        <v>64</v>
      </c>
      <c r="F193" s="16" t="s">
        <v>14</v>
      </c>
      <c r="G193" s="15" t="s">
        <v>738</v>
      </c>
      <c r="H193" s="17" t="s">
        <v>66</v>
      </c>
    </row>
    <row r="194" ht="16.6" customHeight="1" spans="1:8" x14ac:dyDescent="0.25">
      <c r="A194" s="14" t="s">
        <v>739</v>
      </c>
      <c r="B194" s="15" t="s">
        <v>740</v>
      </c>
      <c r="C194" s="16" t="s">
        <v>737</v>
      </c>
      <c r="D194" s="16" t="s">
        <v>53</v>
      </c>
      <c r="E194" s="16" t="s">
        <v>64</v>
      </c>
      <c r="F194" s="16" t="s">
        <v>14</v>
      </c>
      <c r="G194" s="15" t="s">
        <v>741</v>
      </c>
      <c r="H194" s="17" t="s">
        <v>66</v>
      </c>
    </row>
    <row r="195" ht="16.6" customHeight="1" spans="1:8" x14ac:dyDescent="0.25">
      <c r="A195" s="14" t="s">
        <v>742</v>
      </c>
      <c r="B195" s="15" t="s">
        <v>743</v>
      </c>
      <c r="C195" s="16" t="s">
        <v>737</v>
      </c>
      <c r="D195" s="16" t="s">
        <v>41</v>
      </c>
      <c r="E195" s="16" t="s">
        <v>64</v>
      </c>
      <c r="F195" s="16" t="s">
        <v>14</v>
      </c>
      <c r="G195" s="15" t="s">
        <v>744</v>
      </c>
      <c r="H195" s="17" t="s">
        <v>66</v>
      </c>
    </row>
    <row r="196" ht="16.6" customHeight="1" spans="1:8" x14ac:dyDescent="0.25">
      <c r="A196" s="14" t="s">
        <v>745</v>
      </c>
      <c r="B196" s="15" t="s">
        <v>746</v>
      </c>
      <c r="C196" s="16" t="s">
        <v>747</v>
      </c>
      <c r="D196" s="16" t="s">
        <v>54</v>
      </c>
      <c r="E196" s="16" t="s">
        <v>64</v>
      </c>
      <c r="F196" s="16" t="s">
        <v>14</v>
      </c>
      <c r="G196" s="15" t="s">
        <v>748</v>
      </c>
      <c r="H196" s="17" t="s">
        <v>66</v>
      </c>
    </row>
    <row r="197" ht="16.6" customHeight="1" spans="1:8" x14ac:dyDescent="0.25">
      <c r="A197" s="14" t="s">
        <v>749</v>
      </c>
      <c r="B197" s="15" t="s">
        <v>750</v>
      </c>
      <c r="C197" s="16" t="s">
        <v>747</v>
      </c>
      <c r="D197" s="16" t="s">
        <v>54</v>
      </c>
      <c r="E197" s="16" t="s">
        <v>64</v>
      </c>
      <c r="F197" s="16" t="s">
        <v>14</v>
      </c>
      <c r="G197" s="15" t="s">
        <v>751</v>
      </c>
      <c r="H197" s="17" t="s">
        <v>66</v>
      </c>
    </row>
    <row r="198" ht="16.6" customHeight="1" spans="1:8" x14ac:dyDescent="0.25">
      <c r="A198" s="14" t="s">
        <v>752</v>
      </c>
      <c r="B198" s="15" t="s">
        <v>753</v>
      </c>
      <c r="C198" s="16" t="s">
        <v>747</v>
      </c>
      <c r="D198" s="16" t="s">
        <v>54</v>
      </c>
      <c r="E198" s="16" t="s">
        <v>64</v>
      </c>
      <c r="F198" s="16" t="s">
        <v>14</v>
      </c>
      <c r="G198" s="15" t="s">
        <v>754</v>
      </c>
      <c r="H198" s="17" t="s">
        <v>70</v>
      </c>
    </row>
    <row r="199" ht="16.6" customHeight="1" spans="1:8" x14ac:dyDescent="0.25">
      <c r="A199" s="14" t="s">
        <v>755</v>
      </c>
      <c r="B199" s="15" t="s">
        <v>756</v>
      </c>
      <c r="C199" s="16" t="s">
        <v>747</v>
      </c>
      <c r="D199" s="16" t="s">
        <v>54</v>
      </c>
      <c r="E199" s="16" t="s">
        <v>64</v>
      </c>
      <c r="F199" s="16" t="s">
        <v>14</v>
      </c>
      <c r="G199" s="15" t="s">
        <v>757</v>
      </c>
      <c r="H199" s="17" t="s">
        <v>66</v>
      </c>
    </row>
    <row r="200" ht="16.6" customHeight="1" spans="1:8" x14ac:dyDescent="0.25">
      <c r="A200" s="14" t="s">
        <v>758</v>
      </c>
      <c r="B200" s="15" t="s">
        <v>759</v>
      </c>
      <c r="C200" s="16" t="s">
        <v>747</v>
      </c>
      <c r="D200" s="16" t="s">
        <v>54</v>
      </c>
      <c r="E200" s="16" t="s">
        <v>64</v>
      </c>
      <c r="F200" s="16" t="s">
        <v>14</v>
      </c>
      <c r="G200" s="15" t="s">
        <v>760</v>
      </c>
      <c r="H200" s="17" t="s">
        <v>70</v>
      </c>
    </row>
    <row r="201" ht="16.6" customHeight="1" spans="1:8" x14ac:dyDescent="0.25">
      <c r="A201" s="14" t="s">
        <v>761</v>
      </c>
      <c r="B201" s="15" t="s">
        <v>762</v>
      </c>
      <c r="C201" s="16" t="s">
        <v>763</v>
      </c>
      <c r="D201" s="16" t="s">
        <v>54</v>
      </c>
      <c r="E201" s="16" t="s">
        <v>64</v>
      </c>
      <c r="F201" s="16" t="s">
        <v>14</v>
      </c>
      <c r="G201" s="15" t="s">
        <v>764</v>
      </c>
      <c r="H201" s="17" t="s">
        <v>70</v>
      </c>
    </row>
    <row r="202" ht="16.6" customHeight="1" spans="1:8" x14ac:dyDescent="0.25">
      <c r="A202" s="14" t="s">
        <v>765</v>
      </c>
      <c r="B202" s="15" t="s">
        <v>766</v>
      </c>
      <c r="C202" s="16" t="s">
        <v>763</v>
      </c>
      <c r="D202" s="16" t="s">
        <v>54</v>
      </c>
      <c r="E202" s="16" t="s">
        <v>64</v>
      </c>
      <c r="F202" s="16" t="s">
        <v>14</v>
      </c>
      <c r="G202" s="15" t="s">
        <v>767</v>
      </c>
      <c r="H202" s="17" t="s">
        <v>70</v>
      </c>
    </row>
    <row r="203" ht="29.2" customHeight="1" spans="1:8" x14ac:dyDescent="0.25">
      <c r="A203" s="14" t="s">
        <v>768</v>
      </c>
      <c r="B203" s="15" t="s">
        <v>769</v>
      </c>
      <c r="C203" s="16" t="s">
        <v>763</v>
      </c>
      <c r="D203" s="16" t="s">
        <v>54</v>
      </c>
      <c r="E203" s="16" t="s">
        <v>64</v>
      </c>
      <c r="F203" s="16" t="s">
        <v>14</v>
      </c>
      <c r="G203" s="15" t="s">
        <v>770</v>
      </c>
      <c r="H203" s="17" t="s">
        <v>70</v>
      </c>
    </row>
    <row r="204" ht="16.6" customHeight="1" spans="1:8" x14ac:dyDescent="0.25">
      <c r="A204" s="14" t="s">
        <v>771</v>
      </c>
      <c r="B204" s="15" t="s">
        <v>772</v>
      </c>
      <c r="C204" s="16" t="s">
        <v>763</v>
      </c>
      <c r="D204" s="16" t="s">
        <v>54</v>
      </c>
      <c r="E204" s="16" t="s">
        <v>64</v>
      </c>
      <c r="F204" s="16" t="s">
        <v>14</v>
      </c>
      <c r="G204" s="15" t="s">
        <v>773</v>
      </c>
      <c r="H204" s="17" t="s">
        <v>70</v>
      </c>
    </row>
    <row r="205" ht="16.6" customHeight="1" spans="1:8" x14ac:dyDescent="0.25">
      <c r="A205" s="14" t="s">
        <v>774</v>
      </c>
      <c r="B205" s="15" t="s">
        <v>775</v>
      </c>
      <c r="C205" s="16" t="s">
        <v>776</v>
      </c>
      <c r="D205" s="16" t="s">
        <v>54</v>
      </c>
      <c r="E205" s="16" t="s">
        <v>64</v>
      </c>
      <c r="F205" s="16" t="s">
        <v>14</v>
      </c>
      <c r="G205" s="15" t="s">
        <v>777</v>
      </c>
      <c r="H205" s="17" t="s">
        <v>70</v>
      </c>
    </row>
    <row r="206" ht="16.6" customHeight="1" spans="1:8" x14ac:dyDescent="0.25">
      <c r="A206" s="14" t="s">
        <v>778</v>
      </c>
      <c r="B206" s="15" t="s">
        <v>779</v>
      </c>
      <c r="C206" s="16" t="s">
        <v>776</v>
      </c>
      <c r="D206" s="16" t="s">
        <v>54</v>
      </c>
      <c r="E206" s="16" t="s">
        <v>64</v>
      </c>
      <c r="F206" s="16" t="s">
        <v>14</v>
      </c>
      <c r="G206" s="15" t="s">
        <v>780</v>
      </c>
      <c r="H206" s="17" t="s">
        <v>70</v>
      </c>
    </row>
    <row r="207" ht="16.6" customHeight="1" spans="1:8" x14ac:dyDescent="0.25">
      <c r="A207" s="14" t="s">
        <v>781</v>
      </c>
      <c r="B207" s="15" t="s">
        <v>782</v>
      </c>
      <c r="C207" s="16" t="s">
        <v>783</v>
      </c>
      <c r="D207" s="16" t="s">
        <v>51</v>
      </c>
      <c r="E207" s="16" t="s">
        <v>64</v>
      </c>
      <c r="F207" s="16" t="s">
        <v>397</v>
      </c>
      <c r="G207" s="15" t="s">
        <v>784</v>
      </c>
      <c r="H207" s="17" t="s">
        <v>70</v>
      </c>
    </row>
    <row r="208" ht="16.6" customHeight="1" spans="1:8" x14ac:dyDescent="0.25">
      <c r="A208" s="14" t="s">
        <v>785</v>
      </c>
      <c r="B208" s="15" t="s">
        <v>786</v>
      </c>
      <c r="C208" s="16" t="s">
        <v>783</v>
      </c>
      <c r="D208" s="16" t="s">
        <v>51</v>
      </c>
      <c r="E208" s="16" t="s">
        <v>64</v>
      </c>
      <c r="F208" s="16" t="s">
        <v>397</v>
      </c>
      <c r="G208" s="15" t="s">
        <v>787</v>
      </c>
      <c r="H208" s="17" t="s">
        <v>70</v>
      </c>
    </row>
    <row r="209" ht="16.6" customHeight="1" spans="1:8" x14ac:dyDescent="0.25">
      <c r="A209" s="14" t="s">
        <v>788</v>
      </c>
      <c r="B209" s="15" t="s">
        <v>789</v>
      </c>
      <c r="C209" s="16" t="s">
        <v>783</v>
      </c>
      <c r="D209" s="16" t="s">
        <v>51</v>
      </c>
      <c r="E209" s="16" t="s">
        <v>64</v>
      </c>
      <c r="F209" s="16" t="s">
        <v>14</v>
      </c>
      <c r="G209" s="15" t="s">
        <v>790</v>
      </c>
      <c r="H209" s="17" t="s">
        <v>70</v>
      </c>
    </row>
    <row r="210" ht="16.6" customHeight="1" spans="1:8" x14ac:dyDescent="0.25">
      <c r="A210" s="14" t="s">
        <v>791</v>
      </c>
      <c r="B210" s="15" t="s">
        <v>792</v>
      </c>
      <c r="C210" s="16" t="s">
        <v>783</v>
      </c>
      <c r="D210" s="16" t="s">
        <v>51</v>
      </c>
      <c r="E210" s="16" t="s">
        <v>64</v>
      </c>
      <c r="F210" s="16" t="s">
        <v>14</v>
      </c>
      <c r="G210" s="15" t="s">
        <v>793</v>
      </c>
      <c r="H210" s="17" t="s">
        <v>70</v>
      </c>
    </row>
    <row r="211" ht="16.6" customHeight="1" spans="1:8" x14ac:dyDescent="0.25">
      <c r="A211" s="14" t="s">
        <v>794</v>
      </c>
      <c r="B211" s="15" t="s">
        <v>795</v>
      </c>
      <c r="C211" s="16" t="s">
        <v>796</v>
      </c>
      <c r="D211" s="16" t="s">
        <v>52</v>
      </c>
      <c r="E211" s="16" t="s">
        <v>64</v>
      </c>
      <c r="F211" s="16" t="s">
        <v>797</v>
      </c>
      <c r="G211" s="15" t="s">
        <v>798</v>
      </c>
      <c r="H211" s="17" t="s">
        <v>70</v>
      </c>
    </row>
    <row r="212" ht="16.6" customHeight="1" spans="1:8" x14ac:dyDescent="0.25">
      <c r="A212" s="14" t="s">
        <v>799</v>
      </c>
      <c r="B212" s="15" t="s">
        <v>800</v>
      </c>
      <c r="C212" s="16" t="s">
        <v>796</v>
      </c>
      <c r="D212" s="16" t="s">
        <v>52</v>
      </c>
      <c r="E212" s="16" t="s">
        <v>64</v>
      </c>
      <c r="F212" s="16" t="s">
        <v>473</v>
      </c>
      <c r="G212" s="15" t="s">
        <v>801</v>
      </c>
      <c r="H212" s="17" t="s">
        <v>70</v>
      </c>
    </row>
    <row r="213" ht="16.6" customHeight="1" spans="1:8" x14ac:dyDescent="0.25">
      <c r="A213" s="14" t="s">
        <v>802</v>
      </c>
      <c r="B213" s="15" t="s">
        <v>803</v>
      </c>
      <c r="C213" s="16" t="s">
        <v>796</v>
      </c>
      <c r="D213" s="16" t="s">
        <v>52</v>
      </c>
      <c r="E213" s="16" t="s">
        <v>64</v>
      </c>
      <c r="F213" s="16" t="s">
        <v>804</v>
      </c>
      <c r="G213" s="15" t="s">
        <v>805</v>
      </c>
      <c r="H213" s="17" t="s">
        <v>70</v>
      </c>
    </row>
    <row r="214" ht="16.6" customHeight="1" spans="1:8" x14ac:dyDescent="0.25">
      <c r="A214" s="14" t="s">
        <v>806</v>
      </c>
      <c r="B214" s="15" t="s">
        <v>807</v>
      </c>
      <c r="C214" s="16" t="s">
        <v>796</v>
      </c>
      <c r="D214" s="16" t="s">
        <v>52</v>
      </c>
      <c r="E214" s="16" t="s">
        <v>64</v>
      </c>
      <c r="F214" s="16" t="s">
        <v>473</v>
      </c>
      <c r="G214" s="15" t="s">
        <v>808</v>
      </c>
      <c r="H214" s="17" t="s">
        <v>70</v>
      </c>
    </row>
    <row r="215" ht="16.6" customHeight="1" spans="1:8" x14ac:dyDescent="0.25">
      <c r="A215" s="14" t="s">
        <v>809</v>
      </c>
      <c r="B215" s="15" t="s">
        <v>810</v>
      </c>
      <c r="C215" s="16" t="s">
        <v>811</v>
      </c>
      <c r="D215" s="16" t="s">
        <v>51</v>
      </c>
      <c r="E215" s="16" t="s">
        <v>64</v>
      </c>
      <c r="F215" s="16" t="s">
        <v>14</v>
      </c>
      <c r="G215" s="15" t="s">
        <v>812</v>
      </c>
      <c r="H215" s="17" t="s">
        <v>70</v>
      </c>
    </row>
    <row r="216" ht="16.6" customHeight="1" spans="1:8" x14ac:dyDescent="0.25">
      <c r="A216" s="14" t="s">
        <v>813</v>
      </c>
      <c r="B216" s="15" t="s">
        <v>814</v>
      </c>
      <c r="C216" s="16" t="s">
        <v>811</v>
      </c>
      <c r="D216" s="16" t="s">
        <v>51</v>
      </c>
      <c r="E216" s="16" t="s">
        <v>64</v>
      </c>
      <c r="F216" s="16" t="s">
        <v>14</v>
      </c>
      <c r="G216" s="15" t="s">
        <v>815</v>
      </c>
      <c r="H216" s="17" t="s">
        <v>70</v>
      </c>
    </row>
    <row r="217" ht="16.6" customHeight="1" spans="1:8" x14ac:dyDescent="0.25">
      <c r="A217" s="14" t="s">
        <v>816</v>
      </c>
      <c r="B217" s="15" t="s">
        <v>817</v>
      </c>
      <c r="C217" s="16" t="s">
        <v>811</v>
      </c>
      <c r="D217" s="16" t="s">
        <v>51</v>
      </c>
      <c r="E217" s="16" t="s">
        <v>64</v>
      </c>
      <c r="F217" s="16" t="s">
        <v>14</v>
      </c>
      <c r="G217" s="15" t="s">
        <v>818</v>
      </c>
      <c r="H217" s="17" t="s">
        <v>70</v>
      </c>
    </row>
    <row r="218" ht="16.6" customHeight="1" spans="1:8" x14ac:dyDescent="0.25">
      <c r="A218" s="14" t="s">
        <v>819</v>
      </c>
      <c r="B218" s="15" t="s">
        <v>820</v>
      </c>
      <c r="C218" s="16" t="s">
        <v>821</v>
      </c>
      <c r="D218" s="16" t="s">
        <v>51</v>
      </c>
      <c r="E218" s="16" t="s">
        <v>64</v>
      </c>
      <c r="F218" s="16" t="s">
        <v>14</v>
      </c>
      <c r="G218" s="15" t="s">
        <v>822</v>
      </c>
      <c r="H218" s="17" t="s">
        <v>70</v>
      </c>
    </row>
    <row r="219" ht="16.6" customHeight="1" spans="1:8" x14ac:dyDescent="0.25">
      <c r="A219" s="14" t="s">
        <v>823</v>
      </c>
      <c r="B219" s="15" t="s">
        <v>824</v>
      </c>
      <c r="C219" s="16" t="s">
        <v>821</v>
      </c>
      <c r="D219" s="16" t="s">
        <v>51</v>
      </c>
      <c r="E219" s="16" t="s">
        <v>64</v>
      </c>
      <c r="F219" s="16" t="s">
        <v>14</v>
      </c>
      <c r="G219" s="15" t="s">
        <v>825</v>
      </c>
      <c r="H219" s="17" t="s">
        <v>70</v>
      </c>
    </row>
    <row r="220" ht="16.6" customHeight="1" spans="1:8" x14ac:dyDescent="0.25">
      <c r="A220" s="14" t="s">
        <v>826</v>
      </c>
      <c r="B220" s="15" t="s">
        <v>827</v>
      </c>
      <c r="C220" s="16" t="s">
        <v>821</v>
      </c>
      <c r="D220" s="16" t="s">
        <v>51</v>
      </c>
      <c r="E220" s="16" t="s">
        <v>64</v>
      </c>
      <c r="F220" s="16" t="s">
        <v>14</v>
      </c>
      <c r="G220" s="15" t="s">
        <v>828</v>
      </c>
      <c r="H220" s="17" t="s">
        <v>70</v>
      </c>
    </row>
    <row r="221" ht="16.6" customHeight="1" spans="1:8" x14ac:dyDescent="0.25">
      <c r="A221" s="14" t="s">
        <v>829</v>
      </c>
      <c r="B221" s="15" t="s">
        <v>830</v>
      </c>
      <c r="C221" s="16" t="s">
        <v>831</v>
      </c>
      <c r="D221" s="16" t="s">
        <v>51</v>
      </c>
      <c r="E221" s="16" t="s">
        <v>64</v>
      </c>
      <c r="F221" s="16" t="s">
        <v>14</v>
      </c>
      <c r="G221" s="15" t="s">
        <v>832</v>
      </c>
      <c r="H221" s="17" t="s">
        <v>70</v>
      </c>
    </row>
    <row r="222" ht="16.6" customHeight="1" spans="1:8" x14ac:dyDescent="0.25">
      <c r="A222" s="14" t="s">
        <v>833</v>
      </c>
      <c r="B222" s="15" t="s">
        <v>834</v>
      </c>
      <c r="C222" s="16" t="s">
        <v>835</v>
      </c>
      <c r="D222" s="16" t="s">
        <v>53</v>
      </c>
      <c r="E222" s="16" t="s">
        <v>64</v>
      </c>
      <c r="F222" s="16" t="s">
        <v>14</v>
      </c>
      <c r="G222" s="15" t="s">
        <v>836</v>
      </c>
      <c r="H222" s="17" t="s">
        <v>70</v>
      </c>
    </row>
    <row r="223" ht="16.6" customHeight="1" spans="1:8" x14ac:dyDescent="0.25">
      <c r="A223" s="14" t="s">
        <v>837</v>
      </c>
      <c r="B223" s="15" t="s">
        <v>838</v>
      </c>
      <c r="C223" s="16" t="s">
        <v>835</v>
      </c>
      <c r="D223" s="16" t="s">
        <v>53</v>
      </c>
      <c r="E223" s="16" t="s">
        <v>64</v>
      </c>
      <c r="F223" s="16" t="s">
        <v>14</v>
      </c>
      <c r="G223" s="15" t="s">
        <v>839</v>
      </c>
      <c r="H223" s="17" t="s">
        <v>70</v>
      </c>
    </row>
    <row r="224" ht="16.6" customHeight="1" spans="1:8" x14ac:dyDescent="0.25">
      <c r="A224" s="14" t="s">
        <v>840</v>
      </c>
      <c r="B224" s="15" t="s">
        <v>841</v>
      </c>
      <c r="C224" s="16" t="s">
        <v>835</v>
      </c>
      <c r="D224" s="16" t="s">
        <v>53</v>
      </c>
      <c r="E224" s="16" t="s">
        <v>64</v>
      </c>
      <c r="F224" s="16" t="s">
        <v>14</v>
      </c>
      <c r="G224" s="15" t="s">
        <v>842</v>
      </c>
      <c r="H224" s="17" t="s">
        <v>70</v>
      </c>
    </row>
    <row r="225" ht="16.6" customHeight="1" spans="1:8" x14ac:dyDescent="0.25">
      <c r="A225" s="14" t="s">
        <v>843</v>
      </c>
      <c r="B225" s="15" t="s">
        <v>844</v>
      </c>
      <c r="C225" s="16" t="s">
        <v>845</v>
      </c>
      <c r="D225" s="16" t="s">
        <v>33</v>
      </c>
      <c r="E225" s="16" t="s">
        <v>162</v>
      </c>
      <c r="F225" s="16" t="s">
        <v>14</v>
      </c>
      <c r="G225" s="15" t="s">
        <v>14</v>
      </c>
      <c r="H225" s="18" t="s">
        <v>163</v>
      </c>
    </row>
    <row r="226" ht="16.6" customHeight="1" spans="1:8" x14ac:dyDescent="0.25">
      <c r="A226" s="14" t="s">
        <v>846</v>
      </c>
      <c r="B226" s="15" t="s">
        <v>847</v>
      </c>
      <c r="C226" s="16" t="s">
        <v>848</v>
      </c>
      <c r="D226" s="16" t="s">
        <v>33</v>
      </c>
      <c r="E226" s="16" t="s">
        <v>162</v>
      </c>
      <c r="F226" s="16" t="s">
        <v>14</v>
      </c>
      <c r="G226" s="15" t="s">
        <v>14</v>
      </c>
      <c r="H226" s="18" t="s">
        <v>163</v>
      </c>
    </row>
    <row r="227" ht="16.6" customHeight="1" spans="1:8" x14ac:dyDescent="0.25">
      <c r="A227" s="14" t="s">
        <v>849</v>
      </c>
      <c r="B227" s="15" t="s">
        <v>850</v>
      </c>
      <c r="C227" s="16" t="s">
        <v>851</v>
      </c>
      <c r="D227" s="16" t="s">
        <v>33</v>
      </c>
      <c r="E227" s="16" t="s">
        <v>162</v>
      </c>
      <c r="F227" s="16" t="s">
        <v>14</v>
      </c>
      <c r="G227" s="15" t="s">
        <v>14</v>
      </c>
      <c r="H227" s="18" t="s">
        <v>163</v>
      </c>
    </row>
    <row r="228" ht="16.6" customHeight="1" spans="1:8" x14ac:dyDescent="0.25">
      <c r="A228" s="14" t="s">
        <v>852</v>
      </c>
      <c r="B228" s="15" t="s">
        <v>853</v>
      </c>
      <c r="C228" s="16" t="s">
        <v>854</v>
      </c>
      <c r="D228" s="16" t="s">
        <v>33</v>
      </c>
      <c r="E228" s="16" t="s">
        <v>64</v>
      </c>
      <c r="F228" s="16" t="s">
        <v>14</v>
      </c>
      <c r="G228" s="15" t="s">
        <v>855</v>
      </c>
      <c r="H228" s="17" t="s">
        <v>70</v>
      </c>
    </row>
    <row r="229" ht="16.6" customHeight="1" spans="1:8" x14ac:dyDescent="0.25">
      <c r="A229" s="14" t="s">
        <v>856</v>
      </c>
      <c r="B229" s="15" t="s">
        <v>857</v>
      </c>
      <c r="C229" s="16" t="s">
        <v>854</v>
      </c>
      <c r="D229" s="16" t="s">
        <v>858</v>
      </c>
      <c r="E229" s="16" t="s">
        <v>636</v>
      </c>
      <c r="F229" s="16" t="s">
        <v>14</v>
      </c>
      <c r="G229" s="15" t="s">
        <v>14</v>
      </c>
      <c r="H229" s="19" t="s">
        <v>859</v>
      </c>
    </row>
    <row r="230" ht="16.6" customHeight="1" spans="1:8" x14ac:dyDescent="0.25">
      <c r="A230" s="14" t="s">
        <v>860</v>
      </c>
      <c r="B230" s="15" t="s">
        <v>861</v>
      </c>
      <c r="C230" s="16" t="s">
        <v>854</v>
      </c>
      <c r="D230" s="16" t="s">
        <v>858</v>
      </c>
      <c r="E230" s="16" t="s">
        <v>636</v>
      </c>
      <c r="F230" s="16" t="s">
        <v>14</v>
      </c>
      <c r="G230" s="15" t="s">
        <v>14</v>
      </c>
      <c r="H230" s="19" t="s">
        <v>859</v>
      </c>
    </row>
    <row r="231" ht="16.6" customHeight="1" spans="1:8" x14ac:dyDescent="0.25">
      <c r="A231" s="14" t="s">
        <v>862</v>
      </c>
      <c r="B231" s="15" t="s">
        <v>863</v>
      </c>
      <c r="C231" s="16" t="s">
        <v>854</v>
      </c>
      <c r="D231" s="16" t="s">
        <v>858</v>
      </c>
      <c r="E231" s="16" t="s">
        <v>636</v>
      </c>
      <c r="F231" s="16" t="s">
        <v>14</v>
      </c>
      <c r="G231" s="15" t="s">
        <v>14</v>
      </c>
      <c r="H231" s="19" t="s">
        <v>859</v>
      </c>
    </row>
    <row r="232" ht="16.6" customHeight="1" spans="1:8" x14ac:dyDescent="0.25">
      <c r="A232" s="14" t="s">
        <v>864</v>
      </c>
      <c r="B232" s="15" t="s">
        <v>865</v>
      </c>
      <c r="C232" s="16" t="s">
        <v>854</v>
      </c>
      <c r="D232" s="16" t="s">
        <v>36</v>
      </c>
      <c r="E232" s="16" t="s">
        <v>64</v>
      </c>
      <c r="F232" s="16" t="s">
        <v>14</v>
      </c>
      <c r="G232" s="15" t="s">
        <v>866</v>
      </c>
      <c r="H232" s="17" t="s">
        <v>70</v>
      </c>
    </row>
    <row r="233" ht="16.6" customHeight="1" spans="1:8" x14ac:dyDescent="0.25">
      <c r="A233" s="14" t="s">
        <v>867</v>
      </c>
      <c r="B233" s="15" t="s">
        <v>868</v>
      </c>
      <c r="C233" s="16" t="s">
        <v>869</v>
      </c>
      <c r="D233" s="16" t="s">
        <v>33</v>
      </c>
      <c r="E233" s="16" t="s">
        <v>64</v>
      </c>
      <c r="F233" s="16" t="s">
        <v>14</v>
      </c>
      <c r="G233" s="15" t="s">
        <v>870</v>
      </c>
      <c r="H233" s="17" t="s">
        <v>70</v>
      </c>
    </row>
    <row r="234" ht="16.6" customHeight="1" spans="1:8" x14ac:dyDescent="0.25">
      <c r="A234" s="14" t="s">
        <v>871</v>
      </c>
      <c r="B234" s="15" t="s">
        <v>872</v>
      </c>
      <c r="C234" s="16" t="s">
        <v>869</v>
      </c>
      <c r="D234" s="16" t="s">
        <v>33</v>
      </c>
      <c r="E234" s="16" t="s">
        <v>64</v>
      </c>
      <c r="F234" s="16" t="s">
        <v>873</v>
      </c>
      <c r="G234" s="15" t="s">
        <v>874</v>
      </c>
      <c r="H234" s="17" t="s">
        <v>70</v>
      </c>
    </row>
    <row r="235" ht="16.6" customHeight="1" spans="1:8" x14ac:dyDescent="0.25">
      <c r="A235" s="14" t="s">
        <v>875</v>
      </c>
      <c r="B235" s="15" t="s">
        <v>876</v>
      </c>
      <c r="C235" s="16" t="s">
        <v>869</v>
      </c>
      <c r="D235" s="16" t="s">
        <v>33</v>
      </c>
      <c r="E235" s="16" t="s">
        <v>64</v>
      </c>
      <c r="F235" s="16" t="s">
        <v>14</v>
      </c>
      <c r="G235" s="15" t="s">
        <v>877</v>
      </c>
      <c r="H235" s="17" t="s">
        <v>70</v>
      </c>
    </row>
    <row r="236" ht="16.6" customHeight="1" spans="1:8" x14ac:dyDescent="0.25">
      <c r="A236" s="14" t="s">
        <v>878</v>
      </c>
      <c r="B236" s="15" t="s">
        <v>879</v>
      </c>
      <c r="C236" s="16" t="s">
        <v>869</v>
      </c>
      <c r="D236" s="16" t="s">
        <v>33</v>
      </c>
      <c r="E236" s="16" t="s">
        <v>64</v>
      </c>
      <c r="F236" s="16" t="s">
        <v>14</v>
      </c>
      <c r="G236" s="15" t="s">
        <v>880</v>
      </c>
      <c r="H236" s="17" t="s">
        <v>70</v>
      </c>
    </row>
    <row r="237" ht="16.6" customHeight="1" spans="1:8" x14ac:dyDescent="0.25">
      <c r="A237" s="14" t="s">
        <v>881</v>
      </c>
      <c r="B237" s="15" t="s">
        <v>882</v>
      </c>
      <c r="C237" s="16" t="s">
        <v>869</v>
      </c>
      <c r="D237" s="16" t="s">
        <v>33</v>
      </c>
      <c r="E237" s="16" t="s">
        <v>64</v>
      </c>
      <c r="F237" s="16" t="s">
        <v>14</v>
      </c>
      <c r="G237" s="15" t="s">
        <v>883</v>
      </c>
      <c r="H237" s="17" t="s">
        <v>70</v>
      </c>
    </row>
    <row r="238" ht="16.6" customHeight="1" spans="1:8" x14ac:dyDescent="0.25">
      <c r="A238" s="14" t="s">
        <v>884</v>
      </c>
      <c r="B238" s="15" t="s">
        <v>885</v>
      </c>
      <c r="C238" s="16" t="s">
        <v>869</v>
      </c>
      <c r="D238" s="16" t="s">
        <v>33</v>
      </c>
      <c r="E238" s="16" t="s">
        <v>64</v>
      </c>
      <c r="F238" s="16" t="s">
        <v>14</v>
      </c>
      <c r="G238" s="15" t="s">
        <v>886</v>
      </c>
      <c r="H238" s="17" t="s">
        <v>70</v>
      </c>
    </row>
    <row r="239" ht="16.6" customHeight="1" spans="1:8" x14ac:dyDescent="0.25">
      <c r="A239" s="14" t="s">
        <v>887</v>
      </c>
      <c r="B239" s="15" t="s">
        <v>888</v>
      </c>
      <c r="C239" s="16" t="s">
        <v>889</v>
      </c>
      <c r="D239" s="16" t="s">
        <v>33</v>
      </c>
      <c r="E239" s="16" t="s">
        <v>64</v>
      </c>
      <c r="F239" s="16" t="s">
        <v>797</v>
      </c>
      <c r="G239" s="15" t="s">
        <v>890</v>
      </c>
      <c r="H239" s="17" t="s">
        <v>70</v>
      </c>
    </row>
    <row r="240" ht="16.6" customHeight="1" spans="1:8" x14ac:dyDescent="0.25">
      <c r="A240" s="14" t="s">
        <v>891</v>
      </c>
      <c r="B240" s="15" t="s">
        <v>892</v>
      </c>
      <c r="C240" s="16" t="s">
        <v>889</v>
      </c>
      <c r="D240" s="16" t="s">
        <v>33</v>
      </c>
      <c r="E240" s="16" t="s">
        <v>64</v>
      </c>
      <c r="F240" s="16" t="s">
        <v>14</v>
      </c>
      <c r="G240" s="15" t="s">
        <v>893</v>
      </c>
      <c r="H240" s="17" t="s">
        <v>70</v>
      </c>
    </row>
    <row r="241" ht="16.6" customHeight="1" spans="1:8" x14ac:dyDescent="0.25">
      <c r="A241" s="14" t="s">
        <v>894</v>
      </c>
      <c r="B241" s="15" t="s">
        <v>895</v>
      </c>
      <c r="C241" s="16" t="s">
        <v>14</v>
      </c>
      <c r="D241" s="16" t="s">
        <v>51</v>
      </c>
      <c r="E241" s="16" t="s">
        <v>64</v>
      </c>
      <c r="F241" s="16" t="s">
        <v>14</v>
      </c>
      <c r="G241" s="15" t="s">
        <v>896</v>
      </c>
      <c r="H241" s="17" t="s">
        <v>70</v>
      </c>
    </row>
    <row r="242" ht="16.6" customHeight="1" spans="1:8" x14ac:dyDescent="0.25">
      <c r="A242" s="14" t="s">
        <v>897</v>
      </c>
      <c r="B242" s="15" t="s">
        <v>898</v>
      </c>
      <c r="C242" s="16" t="s">
        <v>14</v>
      </c>
      <c r="D242" s="16" t="s">
        <v>51</v>
      </c>
      <c r="E242" s="16" t="s">
        <v>64</v>
      </c>
      <c r="F242" s="16" t="s">
        <v>14</v>
      </c>
      <c r="G242" s="15" t="s">
        <v>899</v>
      </c>
      <c r="H242" s="17" t="s">
        <v>70</v>
      </c>
    </row>
    <row r="243" ht="16.6" customHeight="1" spans="1:8" x14ac:dyDescent="0.25">
      <c r="A243" s="14" t="s">
        <v>900</v>
      </c>
      <c r="B243" s="15" t="s">
        <v>901</v>
      </c>
      <c r="C243" s="16" t="s">
        <v>14</v>
      </c>
      <c r="D243" s="16" t="s">
        <v>51</v>
      </c>
      <c r="E243" s="16" t="s">
        <v>64</v>
      </c>
      <c r="F243" s="16" t="s">
        <v>14</v>
      </c>
      <c r="G243" s="15" t="s">
        <v>902</v>
      </c>
      <c r="H243" s="17" t="s">
        <v>70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911</v>
      </c>
      <c r="B2" s="22"/>
      <c r="C2" s="22"/>
      <c r="D2" s="22"/>
      <c r="E2" s="22"/>
      <c r="F2" s="22"/>
      <c r="G2" s="22"/>
      <c r="H2" s="22"/>
      <c r="I2" s="22"/>
    </row>
    <row r="3" ht="54.4" customHeight="1" spans="1:9" x14ac:dyDescent="0.25">
      <c r="A3" s="23" t="s">
        <v>912</v>
      </c>
      <c r="B3" s="24" t="s">
        <v>913</v>
      </c>
      <c r="C3" s="24" t="s">
        <v>914</v>
      </c>
      <c r="D3" s="24" t="s">
        <v>915</v>
      </c>
      <c r="E3" s="24" t="s">
        <v>916</v>
      </c>
      <c r="F3" s="25" t="s">
        <v>14</v>
      </c>
      <c r="G3" s="25" t="s">
        <v>14</v>
      </c>
      <c r="H3" s="25" t="s">
        <v>14</v>
      </c>
      <c r="I3" s="24" t="s">
        <v>917</v>
      </c>
    </row>
    <row r="4" ht="41.8" customHeight="1" spans="1:9" x14ac:dyDescent="0.25">
      <c r="A4" s="26" t="s">
        <v>918</v>
      </c>
      <c r="B4" s="27" t="s">
        <v>913</v>
      </c>
      <c r="C4" s="27" t="s">
        <v>919</v>
      </c>
      <c r="D4" s="27" t="s">
        <v>920</v>
      </c>
      <c r="E4" s="27" t="s">
        <v>921</v>
      </c>
      <c r="F4" s="25" t="s">
        <v>14</v>
      </c>
      <c r="G4" s="25" t="s">
        <v>14</v>
      </c>
      <c r="H4" s="25" t="s">
        <v>14</v>
      </c>
      <c r="I4" s="27" t="s">
        <v>14</v>
      </c>
    </row>
    <row r="5" ht="18" customHeight="1" spans="1:9" x14ac:dyDescent="0.25">
      <c r="A5" s="22" t="s">
        <v>922</v>
      </c>
      <c r="B5" s="22"/>
      <c r="C5" s="22"/>
      <c r="D5" s="22"/>
      <c r="E5" s="22"/>
      <c r="F5" s="22"/>
      <c r="G5" s="22"/>
      <c r="H5" s="22"/>
      <c r="I5" s="22"/>
    </row>
    <row r="6" ht="41.8" customHeight="1" spans="1:9" x14ac:dyDescent="0.25">
      <c r="A6" s="23" t="s">
        <v>69</v>
      </c>
      <c r="B6" s="24" t="s">
        <v>923</v>
      </c>
      <c r="C6" s="24" t="s">
        <v>924</v>
      </c>
      <c r="D6" s="24" t="s">
        <v>925</v>
      </c>
      <c r="E6" s="24" t="s">
        <v>926</v>
      </c>
      <c r="F6" s="25" t="s">
        <v>14</v>
      </c>
      <c r="G6" s="25" t="s">
        <v>14</v>
      </c>
      <c r="H6" s="25" t="s">
        <v>14</v>
      </c>
      <c r="I6" s="24" t="s">
        <v>917</v>
      </c>
    </row>
    <row r="7" ht="18" customHeight="1" spans="1:9" x14ac:dyDescent="0.25">
      <c r="A7" s="22" t="s">
        <v>927</v>
      </c>
      <c r="B7" s="22"/>
      <c r="C7" s="22"/>
      <c r="D7" s="22"/>
      <c r="E7" s="22"/>
      <c r="F7" s="22"/>
      <c r="G7" s="22"/>
      <c r="H7" s="22"/>
      <c r="I7" s="22"/>
    </row>
    <row r="8" ht="54.4" customHeight="1" spans="1:9" x14ac:dyDescent="0.25">
      <c r="A8" s="23" t="s">
        <v>73</v>
      </c>
      <c r="B8" s="24" t="s">
        <v>928</v>
      </c>
      <c r="C8" s="24" t="s">
        <v>929</v>
      </c>
      <c r="D8" s="24" t="s">
        <v>930</v>
      </c>
      <c r="E8" s="24" t="s">
        <v>931</v>
      </c>
      <c r="F8" s="25" t="s">
        <v>14</v>
      </c>
      <c r="G8" s="25" t="s">
        <v>14</v>
      </c>
      <c r="H8" s="25" t="s">
        <v>14</v>
      </c>
      <c r="I8" s="24" t="s">
        <v>932</v>
      </c>
    </row>
    <row r="9" ht="18" customHeight="1" spans="1:9" x14ac:dyDescent="0.25">
      <c r="A9" s="22" t="s">
        <v>933</v>
      </c>
      <c r="B9" s="22"/>
      <c r="C9" s="22"/>
      <c r="D9" s="22"/>
      <c r="E9" s="22"/>
      <c r="F9" s="22"/>
      <c r="G9" s="22"/>
      <c r="H9" s="22"/>
      <c r="I9" s="22"/>
    </row>
    <row r="10" ht="54.4" customHeight="1" spans="1:9" x14ac:dyDescent="0.25">
      <c r="A10" s="23" t="s">
        <v>76</v>
      </c>
      <c r="B10" s="24" t="s">
        <v>934</v>
      </c>
      <c r="C10" s="24" t="s">
        <v>935</v>
      </c>
      <c r="D10" s="24" t="s">
        <v>936</v>
      </c>
      <c r="E10" s="24" t="s">
        <v>937</v>
      </c>
      <c r="F10" s="25" t="s">
        <v>14</v>
      </c>
      <c r="G10" s="25" t="s">
        <v>14</v>
      </c>
      <c r="H10" s="25" t="s">
        <v>14</v>
      </c>
      <c r="I10" s="24" t="s">
        <v>917</v>
      </c>
    </row>
    <row r="11" ht="18" customHeight="1" spans="1:9" x14ac:dyDescent="0.25">
      <c r="A11" s="22" t="s">
        <v>938</v>
      </c>
      <c r="B11" s="22"/>
      <c r="C11" s="22"/>
      <c r="D11" s="22"/>
      <c r="E11" s="22"/>
      <c r="F11" s="22"/>
      <c r="G11" s="22"/>
      <c r="H11" s="22"/>
      <c r="I11" s="22"/>
    </row>
    <row r="12" ht="54.4" customHeight="1" spans="1:9" x14ac:dyDescent="0.25">
      <c r="A12" s="23" t="s">
        <v>81</v>
      </c>
      <c r="B12" s="24" t="s">
        <v>939</v>
      </c>
      <c r="C12" s="24" t="s">
        <v>940</v>
      </c>
      <c r="D12" s="24" t="s">
        <v>941</v>
      </c>
      <c r="E12" s="24" t="s">
        <v>942</v>
      </c>
      <c r="F12" s="25" t="s">
        <v>14</v>
      </c>
      <c r="G12" s="25" t="s">
        <v>14</v>
      </c>
      <c r="H12" s="25" t="s">
        <v>14</v>
      </c>
      <c r="I12" s="24" t="s">
        <v>14</v>
      </c>
    </row>
    <row r="13" ht="18" customHeight="1" spans="1:9" x14ac:dyDescent="0.25">
      <c r="A13" s="22" t="s">
        <v>943</v>
      </c>
      <c r="B13" s="22"/>
      <c r="C13" s="22"/>
      <c r="D13" s="22"/>
      <c r="E13" s="22"/>
      <c r="F13" s="22"/>
      <c r="G13" s="22"/>
      <c r="H13" s="22"/>
      <c r="I13" s="22"/>
    </row>
    <row r="14" ht="41.8" customHeight="1" spans="1:9" x14ac:dyDescent="0.25">
      <c r="A14" s="23" t="s">
        <v>85</v>
      </c>
      <c r="B14" s="24" t="s">
        <v>944</v>
      </c>
      <c r="C14" s="24" t="s">
        <v>945</v>
      </c>
      <c r="D14" s="24" t="s">
        <v>946</v>
      </c>
      <c r="E14" s="24" t="s">
        <v>947</v>
      </c>
      <c r="F14" s="25" t="s">
        <v>14</v>
      </c>
      <c r="G14" s="25" t="s">
        <v>14</v>
      </c>
      <c r="H14" s="25" t="s">
        <v>14</v>
      </c>
      <c r="I14" s="24" t="s">
        <v>14</v>
      </c>
    </row>
    <row r="15" ht="18" customHeight="1" spans="1:9" x14ac:dyDescent="0.25">
      <c r="A15" s="22" t="s">
        <v>948</v>
      </c>
      <c r="B15" s="22"/>
      <c r="C15" s="22"/>
      <c r="D15" s="22"/>
      <c r="E15" s="22"/>
      <c r="F15" s="22"/>
      <c r="G15" s="22"/>
      <c r="H15" s="22"/>
      <c r="I15" s="22"/>
    </row>
    <row r="16" ht="54.4" customHeight="1" spans="1:9" x14ac:dyDescent="0.25">
      <c r="A16" s="23" t="s">
        <v>89</v>
      </c>
      <c r="B16" s="24" t="s">
        <v>949</v>
      </c>
      <c r="C16" s="24" t="s">
        <v>950</v>
      </c>
      <c r="D16" s="24" t="s">
        <v>951</v>
      </c>
      <c r="E16" s="24" t="s">
        <v>952</v>
      </c>
      <c r="F16" s="25" t="s">
        <v>14</v>
      </c>
      <c r="G16" s="25" t="s">
        <v>14</v>
      </c>
      <c r="H16" s="25" t="s">
        <v>14</v>
      </c>
      <c r="I16" s="24" t="s">
        <v>953</v>
      </c>
    </row>
    <row r="17" ht="18" customHeight="1" spans="1:9" x14ac:dyDescent="0.25">
      <c r="A17" s="22" t="s">
        <v>954</v>
      </c>
      <c r="B17" s="22"/>
      <c r="C17" s="22"/>
      <c r="D17" s="22"/>
      <c r="E17" s="22"/>
      <c r="F17" s="22"/>
      <c r="G17" s="22"/>
      <c r="H17" s="22"/>
      <c r="I17" s="22"/>
    </row>
    <row r="18" ht="54.4" customHeight="1" spans="1:9" x14ac:dyDescent="0.25">
      <c r="A18" s="23" t="s">
        <v>955</v>
      </c>
      <c r="B18" s="24" t="s">
        <v>956</v>
      </c>
      <c r="C18" s="24" t="s">
        <v>957</v>
      </c>
      <c r="D18" s="24" t="s">
        <v>958</v>
      </c>
      <c r="E18" s="24" t="s">
        <v>959</v>
      </c>
      <c r="F18" s="25" t="s">
        <v>14</v>
      </c>
      <c r="G18" s="25" t="s">
        <v>14</v>
      </c>
      <c r="H18" s="25" t="s">
        <v>14</v>
      </c>
      <c r="I18" s="24" t="s">
        <v>960</v>
      </c>
    </row>
    <row r="19" ht="41.8" customHeight="1" spans="1:9" x14ac:dyDescent="0.25">
      <c r="A19" s="26" t="s">
        <v>961</v>
      </c>
      <c r="B19" s="27" t="s">
        <v>956</v>
      </c>
      <c r="C19" s="27" t="s">
        <v>962</v>
      </c>
      <c r="D19" s="27" t="s">
        <v>963</v>
      </c>
      <c r="E19" s="27" t="s">
        <v>964</v>
      </c>
      <c r="F19" s="25" t="s">
        <v>14</v>
      </c>
      <c r="G19" s="25" t="s">
        <v>14</v>
      </c>
      <c r="H19" s="25" t="s">
        <v>14</v>
      </c>
      <c r="I19" s="27" t="s">
        <v>14</v>
      </c>
    </row>
    <row r="20" ht="18" customHeight="1" spans="1:9" x14ac:dyDescent="0.25">
      <c r="A20" s="22" t="s">
        <v>965</v>
      </c>
      <c r="B20" s="22"/>
      <c r="C20" s="22"/>
      <c r="D20" s="22"/>
      <c r="E20" s="22"/>
      <c r="F20" s="22"/>
      <c r="G20" s="22"/>
      <c r="H20" s="22"/>
      <c r="I20" s="22"/>
    </row>
    <row r="21" ht="67" customHeight="1" spans="1:9" x14ac:dyDescent="0.25">
      <c r="A21" s="23" t="s">
        <v>96</v>
      </c>
      <c r="B21" s="24" t="s">
        <v>966</v>
      </c>
      <c r="C21" s="24" t="s">
        <v>967</v>
      </c>
      <c r="D21" s="24" t="s">
        <v>968</v>
      </c>
      <c r="E21" s="24" t="s">
        <v>969</v>
      </c>
      <c r="F21" s="25" t="s">
        <v>14</v>
      </c>
      <c r="G21" s="25" t="s">
        <v>14</v>
      </c>
      <c r="H21" s="25" t="s">
        <v>14</v>
      </c>
      <c r="I21" s="24" t="s">
        <v>970</v>
      </c>
    </row>
    <row r="22" ht="18" customHeight="1" spans="1:9" x14ac:dyDescent="0.25">
      <c r="A22" s="22" t="s">
        <v>971</v>
      </c>
      <c r="B22" s="22"/>
      <c r="C22" s="22"/>
      <c r="D22" s="22"/>
      <c r="E22" s="22"/>
      <c r="F22" s="22"/>
      <c r="G22" s="22"/>
      <c r="H22" s="22"/>
      <c r="I22" s="22"/>
    </row>
    <row r="23" ht="41.8" customHeight="1" spans="1:9" x14ac:dyDescent="0.25">
      <c r="A23" s="23" t="s">
        <v>99</v>
      </c>
      <c r="B23" s="24" t="s">
        <v>972</v>
      </c>
      <c r="C23" s="24" t="s">
        <v>973</v>
      </c>
      <c r="D23" s="24" t="s">
        <v>974</v>
      </c>
      <c r="E23" s="24" t="s">
        <v>975</v>
      </c>
      <c r="F23" s="25" t="s">
        <v>14</v>
      </c>
      <c r="G23" s="25" t="s">
        <v>14</v>
      </c>
      <c r="H23" s="25" t="s">
        <v>14</v>
      </c>
      <c r="I23" s="24" t="s">
        <v>917</v>
      </c>
    </row>
    <row r="24" ht="18" customHeight="1" spans="1:9" x14ac:dyDescent="0.25">
      <c r="A24" s="22" t="s">
        <v>976</v>
      </c>
      <c r="B24" s="22"/>
      <c r="C24" s="22"/>
      <c r="D24" s="22"/>
      <c r="E24" s="22"/>
      <c r="F24" s="22"/>
      <c r="G24" s="22"/>
      <c r="H24" s="22"/>
      <c r="I24" s="22"/>
    </row>
    <row r="25" ht="41.8" customHeight="1" spans="1:9" x14ac:dyDescent="0.25">
      <c r="A25" s="23" t="s">
        <v>977</v>
      </c>
      <c r="B25" s="24" t="s">
        <v>101</v>
      </c>
      <c r="C25" s="24" t="s">
        <v>978</v>
      </c>
      <c r="D25" s="24" t="s">
        <v>979</v>
      </c>
      <c r="E25" s="24" t="s">
        <v>980</v>
      </c>
      <c r="F25" s="25" t="s">
        <v>14</v>
      </c>
      <c r="G25" s="25" t="s">
        <v>14</v>
      </c>
      <c r="H25" s="25" t="s">
        <v>14</v>
      </c>
      <c r="I25" s="24" t="s">
        <v>14</v>
      </c>
    </row>
    <row r="26" ht="54.4" customHeight="1" spans="1:9" x14ac:dyDescent="0.25">
      <c r="A26" s="26" t="s">
        <v>981</v>
      </c>
      <c r="B26" s="27" t="s">
        <v>101</v>
      </c>
      <c r="C26" s="27" t="s">
        <v>982</v>
      </c>
      <c r="D26" s="27" t="s">
        <v>983</v>
      </c>
      <c r="E26" s="27" t="s">
        <v>984</v>
      </c>
      <c r="F26" s="25" t="s">
        <v>14</v>
      </c>
      <c r="G26" s="25" t="s">
        <v>14</v>
      </c>
      <c r="H26" s="25" t="s">
        <v>14</v>
      </c>
      <c r="I26" s="27" t="s">
        <v>14</v>
      </c>
    </row>
    <row r="27" ht="18" customHeight="1" spans="1:9" x14ac:dyDescent="0.25">
      <c r="A27" s="22" t="s">
        <v>985</v>
      </c>
      <c r="B27" s="22"/>
      <c r="C27" s="22"/>
      <c r="D27" s="22"/>
      <c r="E27" s="22"/>
      <c r="F27" s="22"/>
      <c r="G27" s="22"/>
      <c r="H27" s="22"/>
      <c r="I27" s="22"/>
    </row>
    <row r="28" ht="41.8" customHeight="1" spans="1:9" x14ac:dyDescent="0.25">
      <c r="A28" s="23" t="s">
        <v>107</v>
      </c>
      <c r="B28" s="24" t="s">
        <v>106</v>
      </c>
      <c r="C28" s="24" t="s">
        <v>986</v>
      </c>
      <c r="D28" s="24" t="s">
        <v>987</v>
      </c>
      <c r="E28" s="24" t="s">
        <v>988</v>
      </c>
      <c r="F28" s="25" t="s">
        <v>14</v>
      </c>
      <c r="G28" s="25" t="s">
        <v>14</v>
      </c>
      <c r="H28" s="25" t="s">
        <v>14</v>
      </c>
      <c r="I28" s="24" t="s">
        <v>14</v>
      </c>
    </row>
    <row r="29" ht="18" customHeight="1" spans="1:9" x14ac:dyDescent="0.25">
      <c r="A29" s="22" t="s">
        <v>989</v>
      </c>
      <c r="B29" s="22"/>
      <c r="C29" s="22"/>
      <c r="D29" s="22"/>
      <c r="E29" s="22"/>
      <c r="F29" s="22"/>
      <c r="G29" s="22"/>
      <c r="H29" s="22"/>
      <c r="I29" s="22"/>
    </row>
    <row r="30" ht="54.4" customHeight="1" spans="1:9" x14ac:dyDescent="0.25">
      <c r="A30" s="23" t="s">
        <v>110</v>
      </c>
      <c r="B30" s="24" t="s">
        <v>990</v>
      </c>
      <c r="C30" s="24" t="s">
        <v>991</v>
      </c>
      <c r="D30" s="24" t="s">
        <v>992</v>
      </c>
      <c r="E30" s="24" t="s">
        <v>993</v>
      </c>
      <c r="F30" s="25" t="s">
        <v>14</v>
      </c>
      <c r="G30" s="25" t="s">
        <v>14</v>
      </c>
      <c r="H30" s="25" t="s">
        <v>14</v>
      </c>
      <c r="I30" s="24" t="s">
        <v>14</v>
      </c>
    </row>
    <row r="31" ht="18" customHeight="1" spans="1:9" x14ac:dyDescent="0.25">
      <c r="A31" s="22" t="s">
        <v>994</v>
      </c>
      <c r="B31" s="22"/>
      <c r="C31" s="22"/>
      <c r="D31" s="22"/>
      <c r="E31" s="22"/>
      <c r="F31" s="22"/>
      <c r="G31" s="22"/>
      <c r="H31" s="22"/>
      <c r="I31" s="22"/>
    </row>
    <row r="32" ht="67" customHeight="1" spans="1:9" x14ac:dyDescent="0.25">
      <c r="A32" s="23" t="s">
        <v>995</v>
      </c>
      <c r="B32" s="24" t="s">
        <v>996</v>
      </c>
      <c r="C32" s="24" t="s">
        <v>997</v>
      </c>
      <c r="D32" s="24" t="s">
        <v>998</v>
      </c>
      <c r="E32" s="24" t="s">
        <v>999</v>
      </c>
      <c r="F32" s="25" t="s">
        <v>14</v>
      </c>
      <c r="G32" s="25" t="s">
        <v>14</v>
      </c>
      <c r="H32" s="25" t="s">
        <v>14</v>
      </c>
      <c r="I32" s="24" t="s">
        <v>14</v>
      </c>
    </row>
    <row r="33" ht="54.4" customHeight="1" spans="1:9" x14ac:dyDescent="0.25">
      <c r="A33" s="26" t="s">
        <v>1000</v>
      </c>
      <c r="B33" s="27" t="s">
        <v>996</v>
      </c>
      <c r="C33" s="27" t="s">
        <v>1001</v>
      </c>
      <c r="D33" s="27" t="s">
        <v>1002</v>
      </c>
      <c r="E33" s="27" t="s">
        <v>1003</v>
      </c>
      <c r="F33" s="25" t="s">
        <v>14</v>
      </c>
      <c r="G33" s="25" t="s">
        <v>14</v>
      </c>
      <c r="H33" s="25" t="s">
        <v>14</v>
      </c>
      <c r="I33" s="27" t="s">
        <v>14</v>
      </c>
    </row>
    <row r="34" ht="18" customHeight="1" spans="1:9" x14ac:dyDescent="0.25">
      <c r="A34" s="22" t="s">
        <v>1004</v>
      </c>
      <c r="B34" s="22"/>
      <c r="C34" s="22"/>
      <c r="D34" s="22"/>
      <c r="E34" s="22"/>
      <c r="F34" s="22"/>
      <c r="G34" s="22"/>
      <c r="H34" s="22"/>
      <c r="I34" s="22"/>
    </row>
    <row r="35" ht="15" customHeight="1" spans="1:9" x14ac:dyDescent="0.25">
      <c r="A35" s="28" t="s">
        <v>1005</v>
      </c>
      <c r="B35" s="28"/>
      <c r="C35" s="28"/>
      <c r="D35" s="28"/>
      <c r="E35" s="28"/>
      <c r="F35" s="28"/>
      <c r="G35" s="28"/>
      <c r="H35" s="28"/>
      <c r="I35" s="28"/>
    </row>
    <row r="36" ht="18" customHeight="1" spans="1:9" x14ac:dyDescent="0.25">
      <c r="A36" s="22" t="s">
        <v>1006</v>
      </c>
      <c r="B36" s="22"/>
      <c r="C36" s="22"/>
      <c r="D36" s="22"/>
      <c r="E36" s="22"/>
      <c r="F36" s="22"/>
      <c r="G36" s="22"/>
      <c r="H36" s="22"/>
      <c r="I36" s="22"/>
    </row>
    <row r="37" ht="15" customHeight="1" spans="1:9" x14ac:dyDescent="0.25">
      <c r="A37" s="28" t="s">
        <v>1005</v>
      </c>
      <c r="B37" s="28"/>
      <c r="C37" s="28"/>
      <c r="D37" s="28"/>
      <c r="E37" s="28"/>
      <c r="F37" s="28"/>
      <c r="G37" s="28"/>
      <c r="H37" s="28"/>
      <c r="I37" s="28"/>
    </row>
    <row r="38" ht="18" customHeight="1" spans="1:9" x14ac:dyDescent="0.25">
      <c r="A38" s="22" t="s">
        <v>1007</v>
      </c>
      <c r="B38" s="22"/>
      <c r="C38" s="22"/>
      <c r="D38" s="22"/>
      <c r="E38" s="22"/>
      <c r="F38" s="22"/>
      <c r="G38" s="22"/>
      <c r="H38" s="22"/>
      <c r="I38" s="22"/>
    </row>
    <row r="39" ht="15" customHeight="1" spans="1:9" x14ac:dyDescent="0.25">
      <c r="A39" s="28" t="s">
        <v>1005</v>
      </c>
      <c r="B39" s="28"/>
      <c r="C39" s="28"/>
      <c r="D39" s="28"/>
      <c r="E39" s="28"/>
      <c r="F39" s="28"/>
      <c r="G39" s="28"/>
      <c r="H39" s="28"/>
      <c r="I39" s="28"/>
    </row>
    <row r="40" ht="18" customHeight="1" spans="1:9" x14ac:dyDescent="0.25">
      <c r="A40" s="22" t="s">
        <v>1008</v>
      </c>
      <c r="B40" s="22"/>
      <c r="C40" s="22"/>
      <c r="D40" s="22"/>
      <c r="E40" s="22"/>
      <c r="F40" s="22"/>
      <c r="G40" s="22"/>
      <c r="H40" s="22"/>
      <c r="I40" s="22"/>
    </row>
    <row r="41" ht="67" customHeight="1" spans="1:9" x14ac:dyDescent="0.25">
      <c r="A41" s="23" t="s">
        <v>855</v>
      </c>
      <c r="B41" s="24" t="s">
        <v>1009</v>
      </c>
      <c r="C41" s="24" t="s">
        <v>1010</v>
      </c>
      <c r="D41" s="24" t="s">
        <v>1011</v>
      </c>
      <c r="E41" s="24" t="s">
        <v>1012</v>
      </c>
      <c r="F41" s="25" t="s">
        <v>14</v>
      </c>
      <c r="G41" s="25" t="s">
        <v>14</v>
      </c>
      <c r="H41" s="25" t="s">
        <v>14</v>
      </c>
      <c r="I41" s="24" t="s">
        <v>1013</v>
      </c>
    </row>
    <row r="42" ht="18" customHeight="1" spans="1:9" x14ac:dyDescent="0.25">
      <c r="A42" s="22" t="s">
        <v>1014</v>
      </c>
      <c r="B42" s="22"/>
      <c r="C42" s="22"/>
      <c r="D42" s="22"/>
      <c r="E42" s="22"/>
      <c r="F42" s="22"/>
      <c r="G42" s="22"/>
      <c r="H42" s="22"/>
      <c r="I42" s="22"/>
    </row>
    <row r="43" ht="54.4" customHeight="1" spans="1:9" x14ac:dyDescent="0.25">
      <c r="A43" s="23" t="s">
        <v>870</v>
      </c>
      <c r="B43" s="24" t="s">
        <v>1015</v>
      </c>
      <c r="C43" s="24" t="s">
        <v>1016</v>
      </c>
      <c r="D43" s="24" t="s">
        <v>1017</v>
      </c>
      <c r="E43" s="24" t="s">
        <v>1018</v>
      </c>
      <c r="F43" s="25" t="s">
        <v>14</v>
      </c>
      <c r="G43" s="25" t="s">
        <v>14</v>
      </c>
      <c r="H43" s="25" t="s">
        <v>14</v>
      </c>
      <c r="I43" s="24" t="s">
        <v>1019</v>
      </c>
    </row>
    <row r="44" ht="18" customHeight="1" spans="1:9" x14ac:dyDescent="0.25">
      <c r="A44" s="22" t="s">
        <v>1020</v>
      </c>
      <c r="B44" s="22"/>
      <c r="C44" s="22"/>
      <c r="D44" s="22"/>
      <c r="E44" s="22"/>
      <c r="F44" s="22"/>
      <c r="G44" s="22"/>
      <c r="H44" s="22"/>
      <c r="I44" s="22"/>
    </row>
    <row r="45" ht="54.4" customHeight="1" spans="1:9" x14ac:dyDescent="0.25">
      <c r="A45" s="23" t="s">
        <v>874</v>
      </c>
      <c r="B45" s="24" t="s">
        <v>1015</v>
      </c>
      <c r="C45" s="24" t="s">
        <v>1016</v>
      </c>
      <c r="D45" s="24" t="s">
        <v>1021</v>
      </c>
      <c r="E45" s="24" t="s">
        <v>1022</v>
      </c>
      <c r="F45" s="25" t="s">
        <v>14</v>
      </c>
      <c r="G45" s="25" t="s">
        <v>14</v>
      </c>
      <c r="H45" s="25" t="s">
        <v>14</v>
      </c>
      <c r="I45" s="24" t="s">
        <v>14</v>
      </c>
    </row>
    <row r="46" ht="18" customHeight="1" spans="1:9" x14ac:dyDescent="0.25">
      <c r="A46" s="22" t="s">
        <v>1023</v>
      </c>
      <c r="B46" s="22"/>
      <c r="C46" s="22"/>
      <c r="D46" s="22"/>
      <c r="E46" s="22"/>
      <c r="F46" s="22"/>
      <c r="G46" s="22"/>
      <c r="H46" s="22"/>
      <c r="I46" s="22"/>
    </row>
    <row r="47" ht="67" customHeight="1" spans="1:9" x14ac:dyDescent="0.25">
      <c r="A47" s="23" t="s">
        <v>877</v>
      </c>
      <c r="B47" s="24" t="s">
        <v>1024</v>
      </c>
      <c r="C47" s="24" t="s">
        <v>1025</v>
      </c>
      <c r="D47" s="24" t="s">
        <v>1026</v>
      </c>
      <c r="E47" s="24" t="s">
        <v>1027</v>
      </c>
      <c r="F47" s="25" t="s">
        <v>14</v>
      </c>
      <c r="G47" s="25" t="s">
        <v>14</v>
      </c>
      <c r="H47" s="25" t="s">
        <v>14</v>
      </c>
      <c r="I47" s="24" t="s">
        <v>1028</v>
      </c>
    </row>
    <row r="48" ht="18" customHeight="1" spans="1:9" x14ac:dyDescent="0.25">
      <c r="A48" s="22" t="s">
        <v>1029</v>
      </c>
      <c r="B48" s="22"/>
      <c r="C48" s="22"/>
      <c r="D48" s="22"/>
      <c r="E48" s="22"/>
      <c r="F48" s="22"/>
      <c r="G48" s="22"/>
      <c r="H48" s="22"/>
      <c r="I48" s="22"/>
    </row>
    <row r="49" ht="54.4" customHeight="1" spans="1:9" x14ac:dyDescent="0.25">
      <c r="A49" s="23" t="s">
        <v>880</v>
      </c>
      <c r="B49" s="24" t="s">
        <v>1030</v>
      </c>
      <c r="C49" s="24" t="s">
        <v>1031</v>
      </c>
      <c r="D49" s="24" t="s">
        <v>1032</v>
      </c>
      <c r="E49" s="24" t="s">
        <v>1033</v>
      </c>
      <c r="F49" s="25" t="s">
        <v>14</v>
      </c>
      <c r="G49" s="25" t="s">
        <v>14</v>
      </c>
      <c r="H49" s="25" t="s">
        <v>14</v>
      </c>
      <c r="I49" s="24" t="s">
        <v>1034</v>
      </c>
    </row>
    <row r="50" ht="18" customHeight="1" spans="1:9" x14ac:dyDescent="0.25">
      <c r="A50" s="22" t="s">
        <v>1035</v>
      </c>
      <c r="B50" s="22"/>
      <c r="C50" s="22"/>
      <c r="D50" s="22"/>
      <c r="E50" s="22"/>
      <c r="F50" s="22"/>
      <c r="G50" s="22"/>
      <c r="H50" s="22"/>
      <c r="I50" s="22"/>
    </row>
    <row r="51" ht="41.8" customHeight="1" spans="1:9" x14ac:dyDescent="0.25">
      <c r="A51" s="23" t="s">
        <v>883</v>
      </c>
      <c r="B51" s="24" t="s">
        <v>1036</v>
      </c>
      <c r="C51" s="24" t="s">
        <v>1037</v>
      </c>
      <c r="D51" s="24" t="s">
        <v>1038</v>
      </c>
      <c r="E51" s="24" t="s">
        <v>1039</v>
      </c>
      <c r="F51" s="25" t="s">
        <v>14</v>
      </c>
      <c r="G51" s="25" t="s">
        <v>14</v>
      </c>
      <c r="H51" s="25" t="s">
        <v>14</v>
      </c>
      <c r="I51" s="24" t="s">
        <v>1040</v>
      </c>
    </row>
    <row r="52" ht="18" customHeight="1" spans="1:9" x14ac:dyDescent="0.25">
      <c r="A52" s="22" t="s">
        <v>1041</v>
      </c>
      <c r="B52" s="22"/>
      <c r="C52" s="22"/>
      <c r="D52" s="22"/>
      <c r="E52" s="22"/>
      <c r="F52" s="22"/>
      <c r="G52" s="22"/>
      <c r="H52" s="22"/>
      <c r="I52" s="22"/>
    </row>
    <row r="53" ht="54.4" customHeight="1" spans="1:9" x14ac:dyDescent="0.25">
      <c r="A53" s="23" t="s">
        <v>886</v>
      </c>
      <c r="B53" s="24" t="s">
        <v>1042</v>
      </c>
      <c r="C53" s="24" t="s">
        <v>1043</v>
      </c>
      <c r="D53" s="24" t="s">
        <v>1044</v>
      </c>
      <c r="E53" s="24" t="s">
        <v>1045</v>
      </c>
      <c r="F53" s="25" t="s">
        <v>14</v>
      </c>
      <c r="G53" s="25" t="s">
        <v>14</v>
      </c>
      <c r="H53" s="25" t="s">
        <v>14</v>
      </c>
      <c r="I53" s="24" t="s">
        <v>14</v>
      </c>
    </row>
    <row r="54" ht="18" customHeight="1" spans="1:9" x14ac:dyDescent="0.25">
      <c r="A54" s="22" t="s">
        <v>1046</v>
      </c>
      <c r="B54" s="22"/>
      <c r="C54" s="22"/>
      <c r="D54" s="22"/>
      <c r="E54" s="22"/>
      <c r="F54" s="22"/>
      <c r="G54" s="22"/>
      <c r="H54" s="22"/>
      <c r="I54" s="22"/>
    </row>
    <row r="55" ht="41.8" customHeight="1" spans="1:9" x14ac:dyDescent="0.25">
      <c r="A55" s="23" t="s">
        <v>890</v>
      </c>
      <c r="B55" s="24" t="s">
        <v>1047</v>
      </c>
      <c r="C55" s="24" t="s">
        <v>1048</v>
      </c>
      <c r="D55" s="24" t="s">
        <v>1049</v>
      </c>
      <c r="E55" s="24" t="s">
        <v>1050</v>
      </c>
      <c r="F55" s="25" t="s">
        <v>14</v>
      </c>
      <c r="G55" s="25" t="s">
        <v>14</v>
      </c>
      <c r="H55" s="25" t="s">
        <v>14</v>
      </c>
      <c r="I55" s="24" t="s">
        <v>1051</v>
      </c>
    </row>
    <row r="56" ht="18" customHeight="1" spans="1:9" x14ac:dyDescent="0.25">
      <c r="A56" s="22" t="s">
        <v>1052</v>
      </c>
      <c r="B56" s="22"/>
      <c r="C56" s="22"/>
      <c r="D56" s="22"/>
      <c r="E56" s="22"/>
      <c r="F56" s="22"/>
      <c r="G56" s="22"/>
      <c r="H56" s="22"/>
      <c r="I56" s="22"/>
    </row>
    <row r="57" ht="67" customHeight="1" spans="1:9" x14ac:dyDescent="0.25">
      <c r="A57" s="23" t="s">
        <v>893</v>
      </c>
      <c r="B57" s="24" t="s">
        <v>1053</v>
      </c>
      <c r="C57" s="24" t="s">
        <v>1054</v>
      </c>
      <c r="D57" s="24" t="s">
        <v>1055</v>
      </c>
      <c r="E57" s="24" t="s">
        <v>1056</v>
      </c>
      <c r="F57" s="25" t="s">
        <v>14</v>
      </c>
      <c r="G57" s="25" t="s">
        <v>14</v>
      </c>
      <c r="H57" s="25" t="s">
        <v>14</v>
      </c>
      <c r="I57" s="24" t="s">
        <v>1057</v>
      </c>
    </row>
  </sheetData>
  <mergeCells count="29">
    <mergeCell ref="A2:I2"/>
    <mergeCell ref="A5:I5"/>
    <mergeCell ref="A7:I7"/>
    <mergeCell ref="A9:I9"/>
    <mergeCell ref="A11:I11"/>
    <mergeCell ref="A13:I13"/>
    <mergeCell ref="A15:I15"/>
    <mergeCell ref="A17:I17"/>
    <mergeCell ref="A20:I20"/>
    <mergeCell ref="A22:I22"/>
    <mergeCell ref="A24:I24"/>
    <mergeCell ref="A27:I27"/>
    <mergeCell ref="A29:I29"/>
    <mergeCell ref="A31:I31"/>
    <mergeCell ref="A34:I34"/>
    <mergeCell ref="A35:I35"/>
    <mergeCell ref="A36:I36"/>
    <mergeCell ref="A37:I37"/>
    <mergeCell ref="A38:I38"/>
    <mergeCell ref="A39:I39"/>
    <mergeCell ref="A40:I40"/>
    <mergeCell ref="A42:I42"/>
    <mergeCell ref="A44:I44"/>
    <mergeCell ref="A46:I46"/>
    <mergeCell ref="A48:I48"/>
    <mergeCell ref="A50:I50"/>
    <mergeCell ref="A52:I52"/>
    <mergeCell ref="A54:I54"/>
    <mergeCell ref="A56:I56"/>
  </mergeCells>
  <dataValidations count="23">
    <dataValidation type="list" allowBlank="1" sqref="F10">
      <formula1>"Pass,Fail,N/A"</formula1>
    </dataValidation>
    <dataValidation type="list" allowBlank="1" sqref="F12">
      <formula1>"Pass,Fail,N/A"</formula1>
    </dataValidation>
    <dataValidation type="list" allowBlank="1" sqref="F14">
      <formula1>"Pass,Fail,N/A"</formula1>
    </dataValidation>
    <dataValidation type="list" allowBlank="1" sqref="F16">
      <formula1>"Pass,Fail,N/A"</formula1>
    </dataValidation>
    <dataValidation type="list" allowBlank="1" sqref="F18:F19">
      <formula1>"Pass,Fail,N/A"</formula1>
    </dataValidation>
    <dataValidation type="list" allowBlank="1" sqref="F21">
      <formula1>"Pass,Fail,N/A"</formula1>
    </dataValidation>
    <dataValidation type="list" allowBlank="1" sqref="F23">
      <formula1>"Pass,Fail,N/A"</formula1>
    </dataValidation>
    <dataValidation type="list" allowBlank="1" sqref="F25:F26">
      <formula1>"Pass,Fail,N/A"</formula1>
    </dataValidation>
    <dataValidation type="list" allowBlank="1" sqref="F28">
      <formula1>"Pass,Fail,N/A"</formula1>
    </dataValidation>
    <dataValidation type="list" allowBlank="1" sqref="F3:F4">
      <formula1>"Pass,Fail,N/A"</formula1>
    </dataValidation>
    <dataValidation type="list" allowBlank="1" sqref="F30">
      <formula1>"Pass,Fail,N/A"</formula1>
    </dataValidation>
    <dataValidation type="list" allowBlank="1" sqref="F32:F33">
      <formula1>"Pass,Fail,N/A"</formula1>
    </dataValidation>
    <dataValidation type="list" allowBlank="1" sqref="F41">
      <formula1>"Pass,Fail,N/A"</formula1>
    </dataValidation>
    <dataValidation type="list" allowBlank="1" sqref="F43">
      <formula1>"Pass,Fail,N/A"</formula1>
    </dataValidation>
    <dataValidation type="list" allowBlank="1" sqref="F45">
      <formula1>"Pass,Fail,N/A"</formula1>
    </dataValidation>
    <dataValidation type="list" allowBlank="1" sqref="F47">
      <formula1>"Pass,Fail,N/A"</formula1>
    </dataValidation>
    <dataValidation type="list" allowBlank="1" sqref="F49">
      <formula1>"Pass,Fail,N/A"</formula1>
    </dataValidation>
    <dataValidation type="list" allowBlank="1" sqref="F51">
      <formula1>"Pass,Fail,N/A"</formula1>
    </dataValidation>
    <dataValidation type="list" allowBlank="1" sqref="F53">
      <formula1>"Pass,Fail,N/A"</formula1>
    </dataValidation>
    <dataValidation type="list" allowBlank="1" sqref="F55">
      <formula1>"Pass,Fail,N/A"</formula1>
    </dataValidation>
    <dataValidation type="list" allowBlank="1" sqref="F57">
      <formula1>"Pass,Fail,N/A"</formula1>
    </dataValidation>
    <dataValidation type="list" allowBlank="1" sqref="F6">
      <formula1>"Pass,Fail,N/A"</formula1>
    </dataValidation>
    <dataValidation type="list" allowBlank="1" sqref="F8">
      <formula1>"Pass,Fail,N/A"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1058</v>
      </c>
      <c r="B2" s="22"/>
      <c r="C2" s="22"/>
      <c r="D2" s="22"/>
      <c r="E2" s="22"/>
      <c r="F2" s="22"/>
      <c r="G2" s="22"/>
      <c r="H2" s="22"/>
      <c r="I2" s="22"/>
    </row>
    <row r="3" ht="41.8" customHeight="1" spans="1:9" x14ac:dyDescent="0.25">
      <c r="A3" s="23" t="s">
        <v>1059</v>
      </c>
      <c r="B3" s="24" t="s">
        <v>1060</v>
      </c>
      <c r="C3" s="24" t="s">
        <v>1061</v>
      </c>
      <c r="D3" s="24" t="s">
        <v>1062</v>
      </c>
      <c r="E3" s="24" t="s">
        <v>1063</v>
      </c>
      <c r="F3" s="25" t="s">
        <v>14</v>
      </c>
      <c r="G3" s="25" t="s">
        <v>14</v>
      </c>
      <c r="H3" s="25" t="s">
        <v>14</v>
      </c>
      <c r="I3" s="24" t="s">
        <v>14</v>
      </c>
    </row>
    <row r="4" ht="41.8" customHeight="1" spans="1:9" x14ac:dyDescent="0.25">
      <c r="A4" s="26" t="s">
        <v>1064</v>
      </c>
      <c r="B4" s="27" t="s">
        <v>1065</v>
      </c>
      <c r="C4" s="27" t="s">
        <v>1061</v>
      </c>
      <c r="D4" s="27" t="s">
        <v>1066</v>
      </c>
      <c r="E4" s="27" t="s">
        <v>1067</v>
      </c>
      <c r="F4" s="25" t="s">
        <v>14</v>
      </c>
      <c r="G4" s="25" t="s">
        <v>14</v>
      </c>
      <c r="H4" s="25" t="s">
        <v>14</v>
      </c>
      <c r="I4" s="27" t="s">
        <v>14</v>
      </c>
    </row>
    <row r="5" ht="18" customHeight="1" spans="1:9" x14ac:dyDescent="0.25">
      <c r="A5" s="22" t="s">
        <v>1068</v>
      </c>
      <c r="B5" s="22"/>
      <c r="C5" s="22"/>
      <c r="D5" s="22"/>
      <c r="E5" s="22"/>
      <c r="F5" s="22"/>
      <c r="G5" s="22"/>
      <c r="H5" s="22"/>
      <c r="I5" s="22"/>
    </row>
    <row r="6" ht="41.8" customHeight="1" spans="1:9" x14ac:dyDescent="0.25">
      <c r="A6" s="23" t="s">
        <v>1069</v>
      </c>
      <c r="B6" s="24" t="s">
        <v>1070</v>
      </c>
      <c r="C6" s="24" t="s">
        <v>1071</v>
      </c>
      <c r="D6" s="24" t="s">
        <v>1072</v>
      </c>
      <c r="E6" s="24" t="s">
        <v>1073</v>
      </c>
      <c r="F6" s="25" t="s">
        <v>14</v>
      </c>
      <c r="G6" s="25" t="s">
        <v>14</v>
      </c>
      <c r="H6" s="25" t="s">
        <v>14</v>
      </c>
      <c r="I6" s="24" t="s">
        <v>14</v>
      </c>
    </row>
    <row r="7" ht="54.4" customHeight="1" spans="1:9" x14ac:dyDescent="0.25">
      <c r="A7" s="26" t="s">
        <v>1074</v>
      </c>
      <c r="B7" s="27" t="s">
        <v>1075</v>
      </c>
      <c r="C7" s="27" t="s">
        <v>1076</v>
      </c>
      <c r="D7" s="27" t="s">
        <v>1077</v>
      </c>
      <c r="E7" s="27" t="s">
        <v>1078</v>
      </c>
      <c r="F7" s="25" t="s">
        <v>14</v>
      </c>
      <c r="G7" s="25" t="s">
        <v>14</v>
      </c>
      <c r="H7" s="25" t="s">
        <v>14</v>
      </c>
      <c r="I7" s="27" t="s">
        <v>14</v>
      </c>
    </row>
    <row r="8" ht="18" customHeight="1" spans="1:9" x14ac:dyDescent="0.25">
      <c r="A8" s="22" t="s">
        <v>1079</v>
      </c>
      <c r="B8" s="22"/>
      <c r="C8" s="22"/>
      <c r="D8" s="22"/>
      <c r="E8" s="22"/>
      <c r="F8" s="22"/>
      <c r="G8" s="22"/>
      <c r="H8" s="22"/>
      <c r="I8" s="22"/>
    </row>
    <row r="9" ht="67" customHeight="1" spans="1:9" x14ac:dyDescent="0.25">
      <c r="A9" s="23" t="s">
        <v>124</v>
      </c>
      <c r="B9" s="24" t="s">
        <v>1080</v>
      </c>
      <c r="C9" s="24" t="s">
        <v>1061</v>
      </c>
      <c r="D9" s="24" t="s">
        <v>1081</v>
      </c>
      <c r="E9" s="24" t="s">
        <v>1082</v>
      </c>
      <c r="F9" s="25" t="s">
        <v>14</v>
      </c>
      <c r="G9" s="25" t="s">
        <v>14</v>
      </c>
      <c r="H9" s="25" t="s">
        <v>14</v>
      </c>
      <c r="I9" s="24" t="s">
        <v>14</v>
      </c>
    </row>
    <row r="10" ht="18" customHeight="1" spans="1:9" x14ac:dyDescent="0.25">
      <c r="A10" s="22" t="s">
        <v>1083</v>
      </c>
      <c r="B10" s="22"/>
      <c r="C10" s="22"/>
      <c r="D10" s="22"/>
      <c r="E10" s="22"/>
      <c r="F10" s="22"/>
      <c r="G10" s="22"/>
      <c r="H10" s="22"/>
      <c r="I10" s="22"/>
    </row>
    <row r="11" ht="67" customHeight="1" spans="1:9" x14ac:dyDescent="0.25">
      <c r="A11" s="23" t="s">
        <v>1084</v>
      </c>
      <c r="B11" s="24" t="s">
        <v>1085</v>
      </c>
      <c r="C11" s="24" t="s">
        <v>1086</v>
      </c>
      <c r="D11" s="24" t="s">
        <v>1087</v>
      </c>
      <c r="E11" s="24" t="s">
        <v>1088</v>
      </c>
      <c r="F11" s="25" t="s">
        <v>14</v>
      </c>
      <c r="G11" s="25" t="s">
        <v>14</v>
      </c>
      <c r="H11" s="25" t="s">
        <v>14</v>
      </c>
      <c r="I11" s="24" t="s">
        <v>14</v>
      </c>
    </row>
    <row r="12" ht="41.8" customHeight="1" spans="1:9" x14ac:dyDescent="0.25">
      <c r="A12" s="26" t="s">
        <v>1089</v>
      </c>
      <c r="B12" s="27" t="s">
        <v>1090</v>
      </c>
      <c r="C12" s="27" t="s">
        <v>1091</v>
      </c>
      <c r="D12" s="27" t="s">
        <v>1092</v>
      </c>
      <c r="E12" s="27" t="s">
        <v>1093</v>
      </c>
      <c r="F12" s="25" t="s">
        <v>14</v>
      </c>
      <c r="G12" s="25" t="s">
        <v>14</v>
      </c>
      <c r="H12" s="25" t="s">
        <v>14</v>
      </c>
      <c r="I12" s="27" t="s">
        <v>14</v>
      </c>
    </row>
    <row r="13" ht="18" customHeight="1" spans="1:9" x14ac:dyDescent="0.25">
      <c r="A13" s="22" t="s">
        <v>1094</v>
      </c>
      <c r="B13" s="22"/>
      <c r="C13" s="22"/>
      <c r="D13" s="22"/>
      <c r="E13" s="22"/>
      <c r="F13" s="22"/>
      <c r="G13" s="22"/>
      <c r="H13" s="22"/>
      <c r="I13" s="22"/>
    </row>
    <row r="14" ht="67" customHeight="1" spans="1:9" x14ac:dyDescent="0.25">
      <c r="A14" s="23" t="s">
        <v>131</v>
      </c>
      <c r="B14" s="24" t="s">
        <v>1095</v>
      </c>
      <c r="C14" s="24" t="s">
        <v>1096</v>
      </c>
      <c r="D14" s="24" t="s">
        <v>1097</v>
      </c>
      <c r="E14" s="24" t="s">
        <v>1098</v>
      </c>
      <c r="F14" s="25" t="s">
        <v>14</v>
      </c>
      <c r="G14" s="25" t="s">
        <v>14</v>
      </c>
      <c r="H14" s="25" t="s">
        <v>14</v>
      </c>
      <c r="I14" s="24" t="s">
        <v>14</v>
      </c>
    </row>
    <row r="15" ht="18" customHeight="1" spans="1:9" x14ac:dyDescent="0.25">
      <c r="A15" s="22" t="s">
        <v>1099</v>
      </c>
      <c r="B15" s="22"/>
      <c r="C15" s="22"/>
      <c r="D15" s="22"/>
      <c r="E15" s="22"/>
      <c r="F15" s="22"/>
      <c r="G15" s="22"/>
      <c r="H15" s="22"/>
      <c r="I15" s="22"/>
    </row>
    <row r="16" ht="54.4" customHeight="1" spans="1:9" x14ac:dyDescent="0.25">
      <c r="A16" s="23" t="s">
        <v>134</v>
      </c>
      <c r="B16" s="24" t="s">
        <v>1100</v>
      </c>
      <c r="C16" s="24" t="s">
        <v>1101</v>
      </c>
      <c r="D16" s="24" t="s">
        <v>1102</v>
      </c>
      <c r="E16" s="24" t="s">
        <v>1103</v>
      </c>
      <c r="F16" s="25" t="s">
        <v>14</v>
      </c>
      <c r="G16" s="25" t="s">
        <v>14</v>
      </c>
      <c r="H16" s="25" t="s">
        <v>14</v>
      </c>
      <c r="I16" s="24" t="s">
        <v>14</v>
      </c>
    </row>
    <row r="17" ht="18" customHeight="1" spans="1:9" x14ac:dyDescent="0.25">
      <c r="A17" s="22" t="s">
        <v>1104</v>
      </c>
      <c r="B17" s="22"/>
      <c r="C17" s="22"/>
      <c r="D17" s="22"/>
      <c r="E17" s="22"/>
      <c r="F17" s="22"/>
      <c r="G17" s="22"/>
      <c r="H17" s="22"/>
      <c r="I17" s="22"/>
    </row>
    <row r="18" ht="67" customHeight="1" spans="1:9" x14ac:dyDescent="0.25">
      <c r="A18" s="23" t="s">
        <v>138</v>
      </c>
      <c r="B18" s="24" t="s">
        <v>1105</v>
      </c>
      <c r="C18" s="24" t="s">
        <v>1106</v>
      </c>
      <c r="D18" s="24" t="s">
        <v>1107</v>
      </c>
      <c r="E18" s="24" t="s">
        <v>1108</v>
      </c>
      <c r="F18" s="25" t="s">
        <v>14</v>
      </c>
      <c r="G18" s="25" t="s">
        <v>14</v>
      </c>
      <c r="H18" s="25" t="s">
        <v>14</v>
      </c>
      <c r="I18" s="24" t="s">
        <v>1109</v>
      </c>
    </row>
    <row r="19" ht="18" customHeight="1" spans="1:9" x14ac:dyDescent="0.25">
      <c r="A19" s="22" t="s">
        <v>1110</v>
      </c>
      <c r="B19" s="22"/>
      <c r="C19" s="22"/>
      <c r="D19" s="22"/>
      <c r="E19" s="22"/>
      <c r="F19" s="22"/>
      <c r="G19" s="22"/>
      <c r="H19" s="22"/>
      <c r="I19" s="22"/>
    </row>
    <row r="20" ht="54.4" customHeight="1" spans="1:9" x14ac:dyDescent="0.25">
      <c r="A20" s="23" t="s">
        <v>1111</v>
      </c>
      <c r="B20" s="24" t="s">
        <v>1112</v>
      </c>
      <c r="C20" s="24" t="s">
        <v>1113</v>
      </c>
      <c r="D20" s="24" t="s">
        <v>1114</v>
      </c>
      <c r="E20" s="24" t="s">
        <v>1115</v>
      </c>
      <c r="F20" s="25" t="s">
        <v>14</v>
      </c>
      <c r="G20" s="25" t="s">
        <v>14</v>
      </c>
      <c r="H20" s="25" t="s">
        <v>14</v>
      </c>
      <c r="I20" s="24" t="s">
        <v>14</v>
      </c>
    </row>
    <row r="21" ht="41.8" customHeight="1" spans="1:9" x14ac:dyDescent="0.25">
      <c r="A21" s="26" t="s">
        <v>1116</v>
      </c>
      <c r="B21" s="27" t="s">
        <v>1117</v>
      </c>
      <c r="C21" s="27" t="s">
        <v>1118</v>
      </c>
      <c r="D21" s="27" t="s">
        <v>1119</v>
      </c>
      <c r="E21" s="27" t="s">
        <v>1120</v>
      </c>
      <c r="F21" s="25" t="s">
        <v>14</v>
      </c>
      <c r="G21" s="25" t="s">
        <v>14</v>
      </c>
      <c r="H21" s="25" t="s">
        <v>14</v>
      </c>
      <c r="I21" s="27" t="s">
        <v>14</v>
      </c>
    </row>
    <row r="22" ht="18" customHeight="1" spans="1:9" x14ac:dyDescent="0.25">
      <c r="A22" s="22" t="s">
        <v>1121</v>
      </c>
      <c r="B22" s="22"/>
      <c r="C22" s="22"/>
      <c r="D22" s="22"/>
      <c r="E22" s="22"/>
      <c r="F22" s="22"/>
      <c r="G22" s="22"/>
      <c r="H22" s="22"/>
      <c r="I22" s="22"/>
    </row>
    <row r="23" ht="41.8" customHeight="1" spans="1:9" x14ac:dyDescent="0.25">
      <c r="A23" s="23" t="s">
        <v>219</v>
      </c>
      <c r="B23" s="24" t="s">
        <v>1122</v>
      </c>
      <c r="C23" s="24" t="s">
        <v>1123</v>
      </c>
      <c r="D23" s="24" t="s">
        <v>1124</v>
      </c>
      <c r="E23" s="24" t="s">
        <v>1125</v>
      </c>
      <c r="F23" s="25" t="s">
        <v>14</v>
      </c>
      <c r="G23" s="25" t="s">
        <v>14</v>
      </c>
      <c r="H23" s="25" t="s">
        <v>14</v>
      </c>
      <c r="I23" s="24" t="s">
        <v>14</v>
      </c>
    </row>
    <row r="24" ht="18" customHeight="1" spans="1:9" x14ac:dyDescent="0.25">
      <c r="A24" s="22" t="s">
        <v>1126</v>
      </c>
      <c r="B24" s="22"/>
      <c r="C24" s="22"/>
      <c r="D24" s="22"/>
      <c r="E24" s="22"/>
      <c r="F24" s="22"/>
      <c r="G24" s="22"/>
      <c r="H24" s="22"/>
      <c r="I24" s="22"/>
    </row>
    <row r="25" ht="67" customHeight="1" spans="1:9" x14ac:dyDescent="0.25">
      <c r="A25" s="23" t="s">
        <v>222</v>
      </c>
      <c r="B25" s="24" t="s">
        <v>1127</v>
      </c>
      <c r="C25" s="24" t="s">
        <v>1128</v>
      </c>
      <c r="D25" s="24" t="s">
        <v>1129</v>
      </c>
      <c r="E25" s="24" t="s">
        <v>1130</v>
      </c>
      <c r="F25" s="25" t="s">
        <v>14</v>
      </c>
      <c r="G25" s="25" t="s">
        <v>14</v>
      </c>
      <c r="H25" s="25" t="s">
        <v>14</v>
      </c>
      <c r="I25" s="24" t="s">
        <v>1131</v>
      </c>
    </row>
  </sheetData>
  <mergeCells count="10">
    <mergeCell ref="A2:I2"/>
    <mergeCell ref="A5:I5"/>
    <mergeCell ref="A8:I8"/>
    <mergeCell ref="A10:I10"/>
    <mergeCell ref="A13:I13"/>
    <mergeCell ref="A15:I15"/>
    <mergeCell ref="A17:I17"/>
    <mergeCell ref="A19:I19"/>
    <mergeCell ref="A22:I22"/>
    <mergeCell ref="A24:I24"/>
  </mergeCells>
  <dataValidations count="10">
    <dataValidation type="list" allowBlank="1" sqref="F11:F12">
      <formula1>"Pass,Fail,N/A"</formula1>
    </dataValidation>
    <dataValidation type="list" allowBlank="1" sqref="F14">
      <formula1>"Pass,Fail,N/A"</formula1>
    </dataValidation>
    <dataValidation type="list" allowBlank="1" sqref="F16">
      <formula1>"Pass,Fail,N/A"</formula1>
    </dataValidation>
    <dataValidation type="list" allowBlank="1" sqref="F18">
      <formula1>"Pass,Fail,N/A"</formula1>
    </dataValidation>
    <dataValidation type="list" allowBlank="1" sqref="F20:F21">
      <formula1>"Pass,Fail,N/A"</formula1>
    </dataValidation>
    <dataValidation type="list" allowBlank="1" sqref="F23">
      <formula1>"Pass,Fail,N/A"</formula1>
    </dataValidation>
    <dataValidation type="list" allowBlank="1" sqref="F25">
      <formula1>"Pass,Fail,N/A"</formula1>
    </dataValidation>
    <dataValidation type="list" allowBlank="1" sqref="F3:F4">
      <formula1>"Pass,Fail,N/A"</formula1>
    </dataValidation>
    <dataValidation type="list" allowBlank="1" sqref="F6:F7">
      <formula1>"Pass,Fail,N/A"</formula1>
    </dataValidation>
    <dataValidation type="list" allowBlank="1" sqref="F9">
      <formula1>"Pass,Fail,N/A"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1132</v>
      </c>
      <c r="B2" s="22"/>
      <c r="C2" s="22"/>
      <c r="D2" s="22"/>
      <c r="E2" s="22"/>
      <c r="F2" s="22"/>
      <c r="G2" s="22"/>
      <c r="H2" s="22"/>
      <c r="I2" s="22"/>
    </row>
    <row r="3" ht="29.2" customHeight="1" spans="1:9" x14ac:dyDescent="0.25">
      <c r="A3" s="23" t="s">
        <v>1133</v>
      </c>
      <c r="B3" s="24" t="s">
        <v>1134</v>
      </c>
      <c r="C3" s="24" t="s">
        <v>1135</v>
      </c>
      <c r="D3" s="24" t="s">
        <v>1136</v>
      </c>
      <c r="E3" s="24" t="s">
        <v>1137</v>
      </c>
      <c r="F3" s="25" t="s">
        <v>14</v>
      </c>
      <c r="G3" s="25" t="s">
        <v>14</v>
      </c>
      <c r="H3" s="25" t="s">
        <v>14</v>
      </c>
      <c r="I3" s="24" t="s">
        <v>14</v>
      </c>
    </row>
    <row r="4" ht="41.8" customHeight="1" spans="1:9" x14ac:dyDescent="0.25">
      <c r="A4" s="26" t="s">
        <v>1138</v>
      </c>
      <c r="B4" s="27" t="s">
        <v>1139</v>
      </c>
      <c r="C4" s="27" t="s">
        <v>1140</v>
      </c>
      <c r="D4" s="27" t="s">
        <v>1141</v>
      </c>
      <c r="E4" s="27" t="s">
        <v>1142</v>
      </c>
      <c r="F4" s="25" t="s">
        <v>14</v>
      </c>
      <c r="G4" s="25" t="s">
        <v>14</v>
      </c>
      <c r="H4" s="25" t="s">
        <v>14</v>
      </c>
      <c r="I4" s="27" t="s">
        <v>14</v>
      </c>
    </row>
    <row r="5" ht="29.2" customHeight="1" spans="1:9" x14ac:dyDescent="0.25">
      <c r="A5" s="23" t="s">
        <v>1143</v>
      </c>
      <c r="B5" s="24" t="s">
        <v>1144</v>
      </c>
      <c r="C5" s="24" t="s">
        <v>1140</v>
      </c>
      <c r="D5" s="24" t="s">
        <v>1145</v>
      </c>
      <c r="E5" s="24" t="s">
        <v>1146</v>
      </c>
      <c r="F5" s="25" t="s">
        <v>14</v>
      </c>
      <c r="G5" s="25" t="s">
        <v>14</v>
      </c>
      <c r="H5" s="25" t="s">
        <v>14</v>
      </c>
      <c r="I5" s="24" t="s">
        <v>14</v>
      </c>
    </row>
    <row r="6" ht="29.2" customHeight="1" spans="1:9" x14ac:dyDescent="0.25">
      <c r="A6" s="26" t="s">
        <v>1147</v>
      </c>
      <c r="B6" s="27" t="s">
        <v>1148</v>
      </c>
      <c r="C6" s="27" t="s">
        <v>1140</v>
      </c>
      <c r="D6" s="27" t="s">
        <v>1149</v>
      </c>
      <c r="E6" s="27" t="s">
        <v>1150</v>
      </c>
      <c r="F6" s="25" t="s">
        <v>14</v>
      </c>
      <c r="G6" s="25" t="s">
        <v>14</v>
      </c>
      <c r="H6" s="25" t="s">
        <v>14</v>
      </c>
      <c r="I6" s="27" t="s">
        <v>14</v>
      </c>
    </row>
    <row r="7" ht="29.2" customHeight="1" spans="1:9" x14ac:dyDescent="0.25">
      <c r="A7" s="23" t="s">
        <v>1151</v>
      </c>
      <c r="B7" s="24" t="s">
        <v>1152</v>
      </c>
      <c r="C7" s="24" t="s">
        <v>1153</v>
      </c>
      <c r="D7" s="24" t="s">
        <v>1154</v>
      </c>
      <c r="E7" s="24" t="s">
        <v>1155</v>
      </c>
      <c r="F7" s="25" t="s">
        <v>14</v>
      </c>
      <c r="G7" s="25" t="s">
        <v>14</v>
      </c>
      <c r="H7" s="25" t="s">
        <v>14</v>
      </c>
      <c r="I7" s="24" t="s">
        <v>1156</v>
      </c>
    </row>
    <row r="8" ht="18" customHeight="1" spans="1:9" x14ac:dyDescent="0.25">
      <c r="A8" s="22" t="s">
        <v>1157</v>
      </c>
      <c r="B8" s="22"/>
      <c r="C8" s="22"/>
      <c r="D8" s="22"/>
      <c r="E8" s="22"/>
      <c r="F8" s="22"/>
      <c r="G8" s="22"/>
      <c r="H8" s="22"/>
      <c r="I8" s="22"/>
    </row>
    <row r="9" ht="29.2" customHeight="1" spans="1:9" x14ac:dyDescent="0.25">
      <c r="A9" s="23" t="s">
        <v>171</v>
      </c>
      <c r="B9" s="24" t="s">
        <v>1158</v>
      </c>
      <c r="C9" s="24" t="s">
        <v>1135</v>
      </c>
      <c r="D9" s="24" t="s">
        <v>1159</v>
      </c>
      <c r="E9" s="24" t="s">
        <v>1160</v>
      </c>
      <c r="F9" s="25" t="s">
        <v>14</v>
      </c>
      <c r="G9" s="25" t="s">
        <v>14</v>
      </c>
      <c r="H9" s="25" t="s">
        <v>14</v>
      </c>
      <c r="I9" s="24" t="s">
        <v>14</v>
      </c>
    </row>
    <row r="10" ht="18" customHeight="1" spans="1:9" x14ac:dyDescent="0.25">
      <c r="A10" s="22" t="s">
        <v>1161</v>
      </c>
      <c r="B10" s="22"/>
      <c r="C10" s="22"/>
      <c r="D10" s="22"/>
      <c r="E10" s="22"/>
      <c r="F10" s="22"/>
      <c r="G10" s="22"/>
      <c r="H10" s="22"/>
      <c r="I10" s="22"/>
    </row>
    <row r="11" ht="41.8" customHeight="1" spans="1:9" x14ac:dyDescent="0.25">
      <c r="A11" s="23" t="s">
        <v>174</v>
      </c>
      <c r="B11" s="24" t="s">
        <v>1162</v>
      </c>
      <c r="C11" s="24" t="s">
        <v>1163</v>
      </c>
      <c r="D11" s="24" t="s">
        <v>1164</v>
      </c>
      <c r="E11" s="24" t="s">
        <v>1165</v>
      </c>
      <c r="F11" s="25" t="s">
        <v>14</v>
      </c>
      <c r="G11" s="25" t="s">
        <v>14</v>
      </c>
      <c r="H11" s="25" t="s">
        <v>14</v>
      </c>
      <c r="I11" s="24" t="s">
        <v>14</v>
      </c>
    </row>
    <row r="12" ht="18" customHeight="1" spans="1:9" x14ac:dyDescent="0.25">
      <c r="A12" s="29" t="s">
        <v>1166</v>
      </c>
      <c r="B12" s="29"/>
      <c r="C12" s="29"/>
      <c r="D12" s="29"/>
      <c r="E12" s="29"/>
      <c r="F12" s="29"/>
      <c r="G12" s="29"/>
      <c r="H12" s="29"/>
      <c r="I12" s="29"/>
    </row>
    <row r="13" ht="29.2" customHeight="1" spans="1:9" x14ac:dyDescent="0.25">
      <c r="A13" s="23" t="s">
        <v>1167</v>
      </c>
      <c r="B13" s="24" t="s">
        <v>1168</v>
      </c>
      <c r="C13" s="24" t="s">
        <v>1169</v>
      </c>
      <c r="D13" s="24" t="s">
        <v>1170</v>
      </c>
      <c r="E13" s="24" t="s">
        <v>1171</v>
      </c>
      <c r="F13" s="25" t="s">
        <v>14</v>
      </c>
      <c r="G13" s="25" t="s">
        <v>14</v>
      </c>
      <c r="H13" s="25" t="s">
        <v>14</v>
      </c>
      <c r="I13" s="24" t="s">
        <v>14</v>
      </c>
    </row>
  </sheetData>
  <mergeCells count="4">
    <mergeCell ref="A2:I2"/>
    <mergeCell ref="A8:I8"/>
    <mergeCell ref="A10:I10"/>
    <mergeCell ref="A12:I12"/>
  </mergeCells>
  <dataValidations count="4">
    <dataValidation type="list" allowBlank="1" sqref="F11">
      <formula1>"Pass,Fail,N/A"</formula1>
    </dataValidation>
    <dataValidation type="list" allowBlank="1" sqref="F13">
      <formula1>"Pass,Fail,N/A"</formula1>
    </dataValidation>
    <dataValidation type="list" allowBlank="1" sqref="F3:F7">
      <formula1>"Pass,Fail,N/A"</formula1>
    </dataValidation>
    <dataValidation type="list" allowBlank="1" sqref="F9">
      <formula1>"Pass,Fail,N/A"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1172</v>
      </c>
      <c r="B2" s="22"/>
      <c r="C2" s="22"/>
      <c r="D2" s="22"/>
      <c r="E2" s="22"/>
      <c r="F2" s="22"/>
      <c r="G2" s="22"/>
      <c r="H2" s="22"/>
      <c r="I2" s="22"/>
    </row>
    <row r="3" ht="54.4" customHeight="1" spans="1:9" x14ac:dyDescent="0.25">
      <c r="A3" s="23" t="s">
        <v>1173</v>
      </c>
      <c r="B3" s="24" t="s">
        <v>1174</v>
      </c>
      <c r="C3" s="24" t="s">
        <v>1175</v>
      </c>
      <c r="D3" s="24" t="s">
        <v>1176</v>
      </c>
      <c r="E3" s="24" t="s">
        <v>1177</v>
      </c>
      <c r="F3" s="25" t="s">
        <v>14</v>
      </c>
      <c r="G3" s="25" t="s">
        <v>14</v>
      </c>
      <c r="H3" s="25" t="s">
        <v>14</v>
      </c>
      <c r="I3" s="24" t="s">
        <v>14</v>
      </c>
    </row>
    <row r="4" ht="29.2" customHeight="1" spans="1:9" x14ac:dyDescent="0.25">
      <c r="A4" s="26" t="s">
        <v>1178</v>
      </c>
      <c r="B4" s="27" t="s">
        <v>1179</v>
      </c>
      <c r="C4" s="27" t="s">
        <v>1180</v>
      </c>
      <c r="D4" s="27" t="s">
        <v>1181</v>
      </c>
      <c r="E4" s="27" t="s">
        <v>1182</v>
      </c>
      <c r="F4" s="25" t="s">
        <v>14</v>
      </c>
      <c r="G4" s="25" t="s">
        <v>14</v>
      </c>
      <c r="H4" s="25" t="s">
        <v>14</v>
      </c>
      <c r="I4" s="27" t="s">
        <v>14</v>
      </c>
    </row>
    <row r="5" ht="18" customHeight="1" spans="1:9" x14ac:dyDescent="0.25">
      <c r="A5" s="22" t="s">
        <v>1183</v>
      </c>
      <c r="B5" s="22"/>
      <c r="C5" s="22"/>
      <c r="D5" s="22"/>
      <c r="E5" s="22"/>
      <c r="F5" s="22"/>
      <c r="G5" s="22"/>
      <c r="H5" s="22"/>
      <c r="I5" s="22"/>
    </row>
    <row r="6" ht="54.4" customHeight="1" spans="1:9" x14ac:dyDescent="0.25">
      <c r="A6" s="23" t="s">
        <v>1184</v>
      </c>
      <c r="B6" s="24" t="s">
        <v>1185</v>
      </c>
      <c r="C6" s="24" t="s">
        <v>1186</v>
      </c>
      <c r="D6" s="24" t="s">
        <v>1187</v>
      </c>
      <c r="E6" s="24" t="s">
        <v>1188</v>
      </c>
      <c r="F6" s="25" t="s">
        <v>14</v>
      </c>
      <c r="G6" s="25" t="s">
        <v>14</v>
      </c>
      <c r="H6" s="25" t="s">
        <v>14</v>
      </c>
      <c r="I6" s="24" t="s">
        <v>14</v>
      </c>
    </row>
    <row r="7" ht="41.8" customHeight="1" spans="1:9" x14ac:dyDescent="0.25">
      <c r="A7" s="26" t="s">
        <v>1189</v>
      </c>
      <c r="B7" s="27" t="s">
        <v>1190</v>
      </c>
      <c r="C7" s="27" t="s">
        <v>1191</v>
      </c>
      <c r="D7" s="27" t="s">
        <v>1192</v>
      </c>
      <c r="E7" s="27" t="s">
        <v>1193</v>
      </c>
      <c r="F7" s="25" t="s">
        <v>14</v>
      </c>
      <c r="G7" s="25" t="s">
        <v>14</v>
      </c>
      <c r="H7" s="25" t="s">
        <v>14</v>
      </c>
      <c r="I7" s="27" t="s">
        <v>1194</v>
      </c>
    </row>
    <row r="8" ht="18" customHeight="1" spans="1:9" x14ac:dyDescent="0.25">
      <c r="A8" s="22" t="s">
        <v>1195</v>
      </c>
      <c r="B8" s="22"/>
      <c r="C8" s="22"/>
      <c r="D8" s="22"/>
      <c r="E8" s="22"/>
      <c r="F8" s="22"/>
      <c r="G8" s="22"/>
      <c r="H8" s="22"/>
      <c r="I8" s="22"/>
    </row>
    <row r="9" ht="41.8" customHeight="1" spans="1:9" x14ac:dyDescent="0.25">
      <c r="A9" s="23" t="s">
        <v>185</v>
      </c>
      <c r="B9" s="24" t="s">
        <v>1196</v>
      </c>
      <c r="C9" s="24" t="s">
        <v>1197</v>
      </c>
      <c r="D9" s="24" t="s">
        <v>1198</v>
      </c>
      <c r="E9" s="24" t="s">
        <v>1199</v>
      </c>
      <c r="F9" s="25" t="s">
        <v>14</v>
      </c>
      <c r="G9" s="25" t="s">
        <v>14</v>
      </c>
      <c r="H9" s="25" t="s">
        <v>14</v>
      </c>
      <c r="I9" s="24" t="s">
        <v>14</v>
      </c>
    </row>
    <row r="10" ht="18" customHeight="1" spans="1:9" x14ac:dyDescent="0.25">
      <c r="A10" s="22" t="s">
        <v>1200</v>
      </c>
      <c r="B10" s="22"/>
      <c r="C10" s="22"/>
      <c r="D10" s="22"/>
      <c r="E10" s="22"/>
      <c r="F10" s="22"/>
      <c r="G10" s="22"/>
      <c r="H10" s="22"/>
      <c r="I10" s="22"/>
    </row>
    <row r="11" ht="41.8" customHeight="1" spans="1:9" x14ac:dyDescent="0.25">
      <c r="A11" s="23" t="s">
        <v>190</v>
      </c>
      <c r="B11" s="24" t="s">
        <v>1201</v>
      </c>
      <c r="C11" s="24" t="s">
        <v>1202</v>
      </c>
      <c r="D11" s="24" t="s">
        <v>1201</v>
      </c>
      <c r="E11" s="24" t="s">
        <v>1203</v>
      </c>
      <c r="F11" s="25" t="s">
        <v>14</v>
      </c>
      <c r="G11" s="25" t="s">
        <v>14</v>
      </c>
      <c r="H11" s="25" t="s">
        <v>14</v>
      </c>
      <c r="I11" s="24" t="s">
        <v>14</v>
      </c>
    </row>
    <row r="12" ht="18" customHeight="1" spans="1:9" x14ac:dyDescent="0.25">
      <c r="A12" s="22" t="s">
        <v>1204</v>
      </c>
      <c r="B12" s="22"/>
      <c r="C12" s="22"/>
      <c r="D12" s="22"/>
      <c r="E12" s="22"/>
      <c r="F12" s="22"/>
      <c r="G12" s="22"/>
      <c r="H12" s="22"/>
      <c r="I12" s="22"/>
    </row>
    <row r="13" ht="41.8" customHeight="1" spans="1:9" x14ac:dyDescent="0.25">
      <c r="A13" s="23" t="s">
        <v>1205</v>
      </c>
      <c r="B13" s="24" t="s">
        <v>1206</v>
      </c>
      <c r="C13" s="24" t="s">
        <v>1207</v>
      </c>
      <c r="D13" s="24" t="s">
        <v>1208</v>
      </c>
      <c r="E13" s="24" t="s">
        <v>1209</v>
      </c>
      <c r="F13" s="25" t="s">
        <v>14</v>
      </c>
      <c r="G13" s="25" t="s">
        <v>14</v>
      </c>
      <c r="H13" s="25" t="s">
        <v>14</v>
      </c>
      <c r="I13" s="24" t="s">
        <v>14</v>
      </c>
    </row>
    <row r="14" ht="29.2" customHeight="1" spans="1:9" x14ac:dyDescent="0.25">
      <c r="A14" s="26" t="s">
        <v>1210</v>
      </c>
      <c r="B14" s="27" t="s">
        <v>1211</v>
      </c>
      <c r="C14" s="27" t="s">
        <v>1212</v>
      </c>
      <c r="D14" s="27" t="s">
        <v>1213</v>
      </c>
      <c r="E14" s="27" t="s">
        <v>1214</v>
      </c>
      <c r="F14" s="25" t="s">
        <v>14</v>
      </c>
      <c r="G14" s="25" t="s">
        <v>14</v>
      </c>
      <c r="H14" s="25" t="s">
        <v>14</v>
      </c>
      <c r="I14" s="27" t="s">
        <v>14</v>
      </c>
    </row>
    <row r="15" ht="18" customHeight="1" spans="1:9" x14ac:dyDescent="0.25">
      <c r="A15" s="22" t="s">
        <v>1215</v>
      </c>
      <c r="B15" s="22"/>
      <c r="C15" s="22"/>
      <c r="D15" s="22"/>
      <c r="E15" s="22"/>
      <c r="F15" s="22"/>
      <c r="G15" s="22"/>
      <c r="H15" s="22"/>
      <c r="I15" s="22"/>
    </row>
    <row r="16" ht="54.4" customHeight="1" spans="1:9" x14ac:dyDescent="0.25">
      <c r="A16" s="23" t="s">
        <v>196</v>
      </c>
      <c r="B16" s="24" t="s">
        <v>1216</v>
      </c>
      <c r="C16" s="24" t="s">
        <v>1217</v>
      </c>
      <c r="D16" s="24" t="s">
        <v>1218</v>
      </c>
      <c r="E16" s="24" t="s">
        <v>1219</v>
      </c>
      <c r="F16" s="25" t="s">
        <v>14</v>
      </c>
      <c r="G16" s="25" t="s">
        <v>14</v>
      </c>
      <c r="H16" s="25" t="s">
        <v>14</v>
      </c>
      <c r="I16" s="24" t="s">
        <v>14</v>
      </c>
    </row>
    <row r="17" ht="18" customHeight="1" spans="1:9" x14ac:dyDescent="0.25">
      <c r="A17" s="22" t="s">
        <v>1220</v>
      </c>
      <c r="B17" s="22"/>
      <c r="C17" s="22"/>
      <c r="D17" s="22"/>
      <c r="E17" s="22"/>
      <c r="F17" s="22"/>
      <c r="G17" s="22"/>
      <c r="H17" s="22"/>
      <c r="I17" s="22"/>
    </row>
    <row r="18" ht="41.8" customHeight="1" spans="1:9" x14ac:dyDescent="0.25">
      <c r="A18" s="23" t="s">
        <v>199</v>
      </c>
      <c r="B18" s="24" t="s">
        <v>1221</v>
      </c>
      <c r="C18" s="24" t="s">
        <v>1222</v>
      </c>
      <c r="D18" s="24" t="s">
        <v>1223</v>
      </c>
      <c r="E18" s="24" t="s">
        <v>1224</v>
      </c>
      <c r="F18" s="25" t="s">
        <v>14</v>
      </c>
      <c r="G18" s="25" t="s">
        <v>14</v>
      </c>
      <c r="H18" s="25" t="s">
        <v>14</v>
      </c>
      <c r="I18" s="24" t="s">
        <v>14</v>
      </c>
    </row>
    <row r="19" ht="18" customHeight="1" spans="1:9" x14ac:dyDescent="0.25">
      <c r="A19" s="22" t="s">
        <v>1225</v>
      </c>
      <c r="B19" s="22"/>
      <c r="C19" s="22"/>
      <c r="D19" s="22"/>
      <c r="E19" s="22"/>
      <c r="F19" s="22"/>
      <c r="G19" s="22"/>
      <c r="H19" s="22"/>
      <c r="I19" s="22"/>
    </row>
    <row r="20" ht="41.8" customHeight="1" spans="1:9" x14ac:dyDescent="0.25">
      <c r="A20" s="23" t="s">
        <v>203</v>
      </c>
      <c r="B20" s="24" t="s">
        <v>1226</v>
      </c>
      <c r="C20" s="24" t="s">
        <v>1227</v>
      </c>
      <c r="D20" s="24" t="s">
        <v>1228</v>
      </c>
      <c r="E20" s="24" t="s">
        <v>1229</v>
      </c>
      <c r="F20" s="25" t="s">
        <v>14</v>
      </c>
      <c r="G20" s="25" t="s">
        <v>14</v>
      </c>
      <c r="H20" s="25" t="s">
        <v>14</v>
      </c>
      <c r="I20" s="24" t="s">
        <v>14</v>
      </c>
    </row>
    <row r="21" ht="18" customHeight="1" spans="1:9" x14ac:dyDescent="0.25">
      <c r="A21" s="22" t="s">
        <v>1230</v>
      </c>
      <c r="B21" s="22"/>
      <c r="C21" s="22"/>
      <c r="D21" s="22"/>
      <c r="E21" s="22"/>
      <c r="F21" s="22"/>
      <c r="G21" s="22"/>
      <c r="H21" s="22"/>
      <c r="I21" s="22"/>
    </row>
    <row r="22" ht="67" customHeight="1" spans="1:9" x14ac:dyDescent="0.25">
      <c r="A22" s="23" t="s">
        <v>866</v>
      </c>
      <c r="B22" s="24" t="s">
        <v>1231</v>
      </c>
      <c r="C22" s="24" t="s">
        <v>1232</v>
      </c>
      <c r="D22" s="24" t="s">
        <v>1233</v>
      </c>
      <c r="E22" s="24" t="s">
        <v>1234</v>
      </c>
      <c r="F22" s="25" t="s">
        <v>14</v>
      </c>
      <c r="G22" s="25" t="s">
        <v>14</v>
      </c>
      <c r="H22" s="25" t="s">
        <v>14</v>
      </c>
      <c r="I22" s="24" t="s">
        <v>1235</v>
      </c>
    </row>
  </sheetData>
  <mergeCells count="9">
    <mergeCell ref="A2:I2"/>
    <mergeCell ref="A5:I5"/>
    <mergeCell ref="A8:I8"/>
    <mergeCell ref="A10:I10"/>
    <mergeCell ref="A12:I12"/>
    <mergeCell ref="A15:I15"/>
    <mergeCell ref="A17:I17"/>
    <mergeCell ref="A19:I19"/>
    <mergeCell ref="A21:I21"/>
  </mergeCells>
  <dataValidations count="9">
    <dataValidation type="list" allowBlank="1" sqref="F11">
      <formula1>"Pass,Fail,N/A"</formula1>
    </dataValidation>
    <dataValidation type="list" allowBlank="1" sqref="F13:F14">
      <formula1>"Pass,Fail,N/A"</formula1>
    </dataValidation>
    <dataValidation type="list" allowBlank="1" sqref="F16">
      <formula1>"Pass,Fail,N/A"</formula1>
    </dataValidation>
    <dataValidation type="list" allowBlank="1" sqref="F18">
      <formula1>"Pass,Fail,N/A"</formula1>
    </dataValidation>
    <dataValidation type="list" allowBlank="1" sqref="F20">
      <formula1>"Pass,Fail,N/A"</formula1>
    </dataValidation>
    <dataValidation type="list" allowBlank="1" sqref="F22">
      <formula1>"Pass,Fail,N/A"</formula1>
    </dataValidation>
    <dataValidation type="list" allowBlank="1" sqref="F3:F4">
      <formula1>"Pass,Fail,N/A"</formula1>
    </dataValidation>
    <dataValidation type="list" allowBlank="1" sqref="F6:F7">
      <formula1>"Pass,Fail,N/A"</formula1>
    </dataValidation>
    <dataValidation type="list" allowBlank="1" sqref="F9">
      <formula1>"Pass,Fail,N/A"</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1236</v>
      </c>
      <c r="B2" s="22"/>
      <c r="C2" s="22"/>
      <c r="D2" s="22"/>
      <c r="E2" s="22"/>
      <c r="F2" s="22"/>
      <c r="G2" s="22"/>
      <c r="H2" s="22"/>
      <c r="I2" s="22"/>
    </row>
    <row r="3" ht="54.4" customHeight="1" spans="1:9" x14ac:dyDescent="0.25">
      <c r="A3" s="23" t="s">
        <v>1237</v>
      </c>
      <c r="B3" s="24" t="s">
        <v>1238</v>
      </c>
      <c r="C3" s="24" t="s">
        <v>1239</v>
      </c>
      <c r="D3" s="24" t="s">
        <v>1240</v>
      </c>
      <c r="E3" s="24" t="s">
        <v>1241</v>
      </c>
      <c r="F3" s="25" t="s">
        <v>14</v>
      </c>
      <c r="G3" s="25" t="s">
        <v>14</v>
      </c>
      <c r="H3" s="25" t="s">
        <v>14</v>
      </c>
      <c r="I3" s="24" t="s">
        <v>14</v>
      </c>
    </row>
    <row r="4" ht="67" customHeight="1" spans="1:9" x14ac:dyDescent="0.25">
      <c r="A4" s="26" t="s">
        <v>1242</v>
      </c>
      <c r="B4" s="27" t="s">
        <v>1243</v>
      </c>
      <c r="C4" s="27" t="s">
        <v>1244</v>
      </c>
      <c r="D4" s="27" t="s">
        <v>1245</v>
      </c>
      <c r="E4" s="27" t="s">
        <v>1246</v>
      </c>
      <c r="F4" s="25" t="s">
        <v>14</v>
      </c>
      <c r="G4" s="25" t="s">
        <v>14</v>
      </c>
      <c r="H4" s="25" t="s">
        <v>14</v>
      </c>
      <c r="I4" s="27" t="s">
        <v>14</v>
      </c>
    </row>
    <row r="5" ht="41.8" customHeight="1" spans="1:9" x14ac:dyDescent="0.25">
      <c r="A5" s="23" t="s">
        <v>1247</v>
      </c>
      <c r="B5" s="24" t="s">
        <v>1248</v>
      </c>
      <c r="C5" s="24" t="s">
        <v>1249</v>
      </c>
      <c r="D5" s="24" t="s">
        <v>1250</v>
      </c>
      <c r="E5" s="24" t="s">
        <v>1251</v>
      </c>
      <c r="F5" s="25" t="s">
        <v>14</v>
      </c>
      <c r="G5" s="25" t="s">
        <v>14</v>
      </c>
      <c r="H5" s="25" t="s">
        <v>14</v>
      </c>
      <c r="I5" s="24" t="s">
        <v>14</v>
      </c>
    </row>
    <row r="6" ht="18" customHeight="1" spans="1:9" x14ac:dyDescent="0.25">
      <c r="A6" s="22" t="s">
        <v>1252</v>
      </c>
      <c r="B6" s="22"/>
      <c r="C6" s="22"/>
      <c r="D6" s="22"/>
      <c r="E6" s="22"/>
      <c r="F6" s="22"/>
      <c r="G6" s="22"/>
      <c r="H6" s="22"/>
      <c r="I6" s="22"/>
    </row>
    <row r="7" ht="67" customHeight="1" spans="1:9" x14ac:dyDescent="0.25">
      <c r="A7" s="23" t="s">
        <v>211</v>
      </c>
      <c r="B7" s="24" t="s">
        <v>1253</v>
      </c>
      <c r="C7" s="24" t="s">
        <v>1254</v>
      </c>
      <c r="D7" s="24" t="s">
        <v>1255</v>
      </c>
      <c r="E7" s="24" t="s">
        <v>1256</v>
      </c>
      <c r="F7" s="25" t="s">
        <v>14</v>
      </c>
      <c r="G7" s="25" t="s">
        <v>14</v>
      </c>
      <c r="H7" s="25" t="s">
        <v>14</v>
      </c>
      <c r="I7" s="24" t="s">
        <v>1257</v>
      </c>
    </row>
    <row r="8" ht="18" customHeight="1" spans="1:9" x14ac:dyDescent="0.25">
      <c r="A8" s="22" t="s">
        <v>1258</v>
      </c>
      <c r="B8" s="22"/>
      <c r="C8" s="22"/>
      <c r="D8" s="22"/>
      <c r="E8" s="22"/>
      <c r="F8" s="22"/>
      <c r="G8" s="22"/>
      <c r="H8" s="22"/>
      <c r="I8" s="22"/>
    </row>
    <row r="9" ht="54.4" customHeight="1" spans="1:9" x14ac:dyDescent="0.25">
      <c r="A9" s="23" t="s">
        <v>1259</v>
      </c>
      <c r="B9" s="24" t="s">
        <v>1260</v>
      </c>
      <c r="C9" s="24" t="s">
        <v>1261</v>
      </c>
      <c r="D9" s="24" t="s">
        <v>1260</v>
      </c>
      <c r="E9" s="24" t="s">
        <v>1262</v>
      </c>
      <c r="F9" s="25" t="s">
        <v>14</v>
      </c>
      <c r="G9" s="25" t="s">
        <v>14</v>
      </c>
      <c r="H9" s="25" t="s">
        <v>14</v>
      </c>
      <c r="I9" s="24" t="s">
        <v>14</v>
      </c>
    </row>
    <row r="10" ht="41.8" customHeight="1" spans="1:9" x14ac:dyDescent="0.25">
      <c r="A10" s="26" t="s">
        <v>1263</v>
      </c>
      <c r="B10" s="27" t="s">
        <v>1264</v>
      </c>
      <c r="C10" s="27" t="s">
        <v>1265</v>
      </c>
      <c r="D10" s="27" t="s">
        <v>1266</v>
      </c>
      <c r="E10" s="27" t="s">
        <v>1267</v>
      </c>
      <c r="F10" s="25" t="s">
        <v>14</v>
      </c>
      <c r="G10" s="25" t="s">
        <v>14</v>
      </c>
      <c r="H10" s="25" t="s">
        <v>14</v>
      </c>
      <c r="I10" s="27" t="s">
        <v>14</v>
      </c>
    </row>
    <row r="11" ht="18" customHeight="1" spans="1:9" x14ac:dyDescent="0.25">
      <c r="A11" s="22" t="s">
        <v>1268</v>
      </c>
      <c r="B11" s="22"/>
      <c r="C11" s="22"/>
      <c r="D11" s="22"/>
      <c r="E11" s="22"/>
      <c r="F11" s="22"/>
      <c r="G11" s="22"/>
      <c r="H11" s="22"/>
      <c r="I11" s="22"/>
    </row>
    <row r="12" ht="54.4" customHeight="1" spans="1:9" x14ac:dyDescent="0.25">
      <c r="A12" s="23" t="s">
        <v>620</v>
      </c>
      <c r="B12" s="24" t="s">
        <v>1269</v>
      </c>
      <c r="C12" s="24" t="s">
        <v>1270</v>
      </c>
      <c r="D12" s="24" t="s">
        <v>1271</v>
      </c>
      <c r="E12" s="24" t="s">
        <v>1272</v>
      </c>
      <c r="F12" s="25" t="s">
        <v>14</v>
      </c>
      <c r="G12" s="25" t="s">
        <v>14</v>
      </c>
      <c r="H12" s="25" t="s">
        <v>14</v>
      </c>
      <c r="I12" s="24" t="s">
        <v>14</v>
      </c>
    </row>
    <row r="13" ht="18" customHeight="1" spans="1:9" x14ac:dyDescent="0.25">
      <c r="A13" s="22" t="s">
        <v>1273</v>
      </c>
      <c r="B13" s="22"/>
      <c r="C13" s="22"/>
      <c r="D13" s="22"/>
      <c r="E13" s="22"/>
      <c r="F13" s="22"/>
      <c r="G13" s="22"/>
      <c r="H13" s="22"/>
      <c r="I13" s="22"/>
    </row>
    <row r="14" ht="54.4" customHeight="1" spans="1:9" x14ac:dyDescent="0.25">
      <c r="A14" s="23" t="s">
        <v>1274</v>
      </c>
      <c r="B14" s="24" t="s">
        <v>1275</v>
      </c>
      <c r="C14" s="24" t="s">
        <v>1276</v>
      </c>
      <c r="D14" s="24" t="s">
        <v>1277</v>
      </c>
      <c r="E14" s="24" t="s">
        <v>1278</v>
      </c>
      <c r="F14" s="25" t="s">
        <v>14</v>
      </c>
      <c r="G14" s="25" t="s">
        <v>14</v>
      </c>
      <c r="H14" s="25" t="s">
        <v>14</v>
      </c>
      <c r="I14" s="24" t="s">
        <v>14</v>
      </c>
    </row>
    <row r="15" ht="41.8" customHeight="1" spans="1:9" x14ac:dyDescent="0.25">
      <c r="A15" s="26" t="s">
        <v>1279</v>
      </c>
      <c r="B15" s="27" t="s">
        <v>1280</v>
      </c>
      <c r="C15" s="27" t="s">
        <v>1281</v>
      </c>
      <c r="D15" s="27" t="s">
        <v>1282</v>
      </c>
      <c r="E15" s="27" t="s">
        <v>1283</v>
      </c>
      <c r="F15" s="25" t="s">
        <v>14</v>
      </c>
      <c r="G15" s="25" t="s">
        <v>14</v>
      </c>
      <c r="H15" s="25" t="s">
        <v>14</v>
      </c>
      <c r="I15" s="27" t="s">
        <v>1257</v>
      </c>
    </row>
  </sheetData>
  <mergeCells count="5">
    <mergeCell ref="A2:I2"/>
    <mergeCell ref="A6:I6"/>
    <mergeCell ref="A8:I8"/>
    <mergeCell ref="A11:I11"/>
    <mergeCell ref="A13:I13"/>
  </mergeCells>
  <dataValidations count="6">
    <dataValidation type="list" allowBlank="1" sqref="F10">
      <formula1>"Pass,Fail,N/A"</formula1>
    </dataValidation>
    <dataValidation type="list" allowBlank="1" sqref="F12">
      <formula1>"Pass,Fail,N/A"</formula1>
    </dataValidation>
    <dataValidation type="list" allowBlank="1" sqref="F14:F15">
      <formula1>"Pass,Fail,N/A"</formula1>
    </dataValidation>
    <dataValidation type="list" allowBlank="1" sqref="F3:F5">
      <formula1>"Pass,Fail,N/A"</formula1>
    </dataValidation>
    <dataValidation type="list" allowBlank="1" sqref="F7">
      <formula1>"Pass,Fail,N/A"</formula1>
    </dataValidation>
    <dataValidation type="list" allowBlank="1" sqref="F9:F10">
      <formula1>"Pass,Fail,N/A"</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1284</v>
      </c>
      <c r="B2" s="22"/>
      <c r="C2" s="22"/>
      <c r="D2" s="22"/>
      <c r="E2" s="22"/>
      <c r="F2" s="22"/>
      <c r="G2" s="22"/>
      <c r="H2" s="22"/>
      <c r="I2" s="22"/>
    </row>
    <row r="3" ht="41.8" customHeight="1" spans="1:9" x14ac:dyDescent="0.25">
      <c r="A3" s="23" t="s">
        <v>1285</v>
      </c>
      <c r="B3" s="24" t="s">
        <v>1286</v>
      </c>
      <c r="C3" s="24" t="s">
        <v>1287</v>
      </c>
      <c r="D3" s="24" t="s">
        <v>1288</v>
      </c>
      <c r="E3" s="24" t="s">
        <v>1289</v>
      </c>
      <c r="F3" s="25" t="s">
        <v>14</v>
      </c>
      <c r="G3" s="25" t="s">
        <v>14</v>
      </c>
      <c r="H3" s="25" t="s">
        <v>14</v>
      </c>
      <c r="I3" s="24" t="s">
        <v>14</v>
      </c>
    </row>
    <row r="4" ht="41.8" customHeight="1" spans="1:9" x14ac:dyDescent="0.25">
      <c r="A4" s="26" t="s">
        <v>1290</v>
      </c>
      <c r="B4" s="27" t="s">
        <v>1291</v>
      </c>
      <c r="C4" s="27" t="s">
        <v>1292</v>
      </c>
      <c r="D4" s="27" t="s">
        <v>1293</v>
      </c>
      <c r="E4" s="27" t="s">
        <v>1294</v>
      </c>
      <c r="F4" s="25" t="s">
        <v>14</v>
      </c>
      <c r="G4" s="25" t="s">
        <v>14</v>
      </c>
      <c r="H4" s="25" t="s">
        <v>14</v>
      </c>
      <c r="I4" s="27" t="s">
        <v>14</v>
      </c>
    </row>
    <row r="5" ht="18" customHeight="1" spans="1:9" x14ac:dyDescent="0.25">
      <c r="A5" s="22" t="s">
        <v>1295</v>
      </c>
      <c r="B5" s="22"/>
      <c r="C5" s="22"/>
      <c r="D5" s="22"/>
      <c r="E5" s="22"/>
      <c r="F5" s="22"/>
      <c r="G5" s="22"/>
      <c r="H5" s="22"/>
      <c r="I5" s="22"/>
    </row>
    <row r="6" ht="54.4" customHeight="1" spans="1:9" x14ac:dyDescent="0.25">
      <c r="A6" s="23" t="s">
        <v>1296</v>
      </c>
      <c r="B6" s="24" t="s">
        <v>1297</v>
      </c>
      <c r="C6" s="24" t="s">
        <v>1298</v>
      </c>
      <c r="D6" s="24" t="s">
        <v>1299</v>
      </c>
      <c r="E6" s="24" t="s">
        <v>1300</v>
      </c>
      <c r="F6" s="25" t="s">
        <v>14</v>
      </c>
      <c r="G6" s="25" t="s">
        <v>14</v>
      </c>
      <c r="H6" s="25" t="s">
        <v>14</v>
      </c>
      <c r="I6" s="24" t="s">
        <v>1301</v>
      </c>
    </row>
    <row r="7" ht="67" customHeight="1" spans="1:9" x14ac:dyDescent="0.25">
      <c r="A7" s="26" t="s">
        <v>1302</v>
      </c>
      <c r="B7" s="27" t="s">
        <v>1303</v>
      </c>
      <c r="C7" s="27" t="s">
        <v>1304</v>
      </c>
      <c r="D7" s="27" t="s">
        <v>1305</v>
      </c>
      <c r="E7" s="27" t="s">
        <v>1306</v>
      </c>
      <c r="F7" s="25" t="s">
        <v>14</v>
      </c>
      <c r="G7" s="25" t="s">
        <v>14</v>
      </c>
      <c r="H7" s="25" t="s">
        <v>14</v>
      </c>
      <c r="I7" s="27" t="s">
        <v>1156</v>
      </c>
    </row>
    <row r="8" ht="18" customHeight="1" spans="1:9" x14ac:dyDescent="0.25">
      <c r="A8" s="22" t="s">
        <v>1307</v>
      </c>
      <c r="B8" s="22"/>
      <c r="C8" s="22"/>
      <c r="D8" s="22"/>
      <c r="E8" s="22"/>
      <c r="F8" s="22"/>
      <c r="G8" s="22"/>
      <c r="H8" s="22"/>
      <c r="I8" s="22"/>
    </row>
    <row r="9" ht="54.4" customHeight="1" spans="1:9" x14ac:dyDescent="0.25">
      <c r="A9" s="23" t="s">
        <v>233</v>
      </c>
      <c r="B9" s="24" t="s">
        <v>1308</v>
      </c>
      <c r="C9" s="24" t="s">
        <v>1309</v>
      </c>
      <c r="D9" s="24" t="s">
        <v>1310</v>
      </c>
      <c r="E9" s="24" t="s">
        <v>1311</v>
      </c>
      <c r="F9" s="25" t="s">
        <v>14</v>
      </c>
      <c r="G9" s="25" t="s">
        <v>14</v>
      </c>
      <c r="H9" s="25" t="s">
        <v>14</v>
      </c>
      <c r="I9" s="24" t="s">
        <v>1156</v>
      </c>
    </row>
    <row r="10" ht="18" customHeight="1" spans="1:9" x14ac:dyDescent="0.25">
      <c r="A10" s="22" t="s">
        <v>1312</v>
      </c>
      <c r="B10" s="22"/>
      <c r="C10" s="22"/>
      <c r="D10" s="22"/>
      <c r="E10" s="22"/>
      <c r="F10" s="22"/>
      <c r="G10" s="22"/>
      <c r="H10" s="22"/>
      <c r="I10" s="22"/>
    </row>
    <row r="11" ht="41.8" customHeight="1" spans="1:9" x14ac:dyDescent="0.25">
      <c r="A11" s="23" t="s">
        <v>236</v>
      </c>
      <c r="B11" s="24" t="s">
        <v>1313</v>
      </c>
      <c r="C11" s="24" t="s">
        <v>1314</v>
      </c>
      <c r="D11" s="24" t="s">
        <v>1315</v>
      </c>
      <c r="E11" s="24" t="s">
        <v>1316</v>
      </c>
      <c r="F11" s="25" t="s">
        <v>14</v>
      </c>
      <c r="G11" s="25" t="s">
        <v>14</v>
      </c>
      <c r="H11" s="25" t="s">
        <v>14</v>
      </c>
      <c r="I11" s="24" t="s">
        <v>1317</v>
      </c>
    </row>
    <row r="12" ht="18" customHeight="1" spans="1:9" x14ac:dyDescent="0.25">
      <c r="A12" s="22" t="s">
        <v>1318</v>
      </c>
      <c r="B12" s="22"/>
      <c r="C12" s="22"/>
      <c r="D12" s="22"/>
      <c r="E12" s="22"/>
      <c r="F12" s="22"/>
      <c r="G12" s="22"/>
      <c r="H12" s="22"/>
      <c r="I12" s="22"/>
    </row>
    <row r="13" ht="54.4" customHeight="1" spans="1:9" x14ac:dyDescent="0.25">
      <c r="A13" s="23" t="s">
        <v>239</v>
      </c>
      <c r="B13" s="24" t="s">
        <v>1319</v>
      </c>
      <c r="C13" s="24" t="s">
        <v>1320</v>
      </c>
      <c r="D13" s="24" t="s">
        <v>1321</v>
      </c>
      <c r="E13" s="24" t="s">
        <v>1322</v>
      </c>
      <c r="F13" s="25" t="s">
        <v>14</v>
      </c>
      <c r="G13" s="25" t="s">
        <v>14</v>
      </c>
      <c r="H13" s="25" t="s">
        <v>14</v>
      </c>
      <c r="I13" s="24" t="s">
        <v>1323</v>
      </c>
    </row>
  </sheetData>
  <mergeCells count="5">
    <mergeCell ref="A2:I2"/>
    <mergeCell ref="A5:I5"/>
    <mergeCell ref="A8:I8"/>
    <mergeCell ref="A10:I10"/>
    <mergeCell ref="A12:I12"/>
  </mergeCells>
  <dataValidations count="5">
    <dataValidation type="list" allowBlank="1" sqref="F11">
      <formula1>"Pass,Fail,N/A"</formula1>
    </dataValidation>
    <dataValidation type="list" allowBlank="1" sqref="F13">
      <formula1>"Pass,Fail,N/A"</formula1>
    </dataValidation>
    <dataValidation type="list" allowBlank="1" sqref="F3:F4">
      <formula1>"Pass,Fail,N/A"</formula1>
    </dataValidation>
    <dataValidation type="list" allowBlank="1" sqref="F6:F7">
      <formula1>"Pass,Fail,N/A"</formula1>
    </dataValidation>
    <dataValidation type="list" allowBlank="1" sqref="F9">
      <formula1>"Pass,Fail,N/A"</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1324</v>
      </c>
      <c r="B2" s="22"/>
      <c r="C2" s="22"/>
      <c r="D2" s="22"/>
      <c r="E2" s="22"/>
      <c r="F2" s="22"/>
      <c r="G2" s="22"/>
      <c r="H2" s="22"/>
      <c r="I2" s="22"/>
    </row>
    <row r="3" ht="29.2" customHeight="1" spans="1:9" x14ac:dyDescent="0.25">
      <c r="A3" s="23" t="s">
        <v>1325</v>
      </c>
      <c r="B3" s="24" t="s">
        <v>1326</v>
      </c>
      <c r="C3" s="24" t="s">
        <v>1327</v>
      </c>
      <c r="D3" s="24" t="s">
        <v>1328</v>
      </c>
      <c r="E3" s="24" t="s">
        <v>1329</v>
      </c>
      <c r="F3" s="25" t="s">
        <v>14</v>
      </c>
      <c r="G3" s="25" t="s">
        <v>14</v>
      </c>
      <c r="H3" s="25" t="s">
        <v>14</v>
      </c>
      <c r="I3" s="24" t="s">
        <v>14</v>
      </c>
    </row>
    <row r="4" ht="41.8" customHeight="1" spans="1:9" x14ac:dyDescent="0.25">
      <c r="A4" s="26" t="s">
        <v>1330</v>
      </c>
      <c r="B4" s="27" t="s">
        <v>1331</v>
      </c>
      <c r="C4" s="27" t="s">
        <v>1332</v>
      </c>
      <c r="D4" s="27" t="s">
        <v>1333</v>
      </c>
      <c r="E4" s="27" t="s">
        <v>1334</v>
      </c>
      <c r="F4" s="25" t="s">
        <v>14</v>
      </c>
      <c r="G4" s="25" t="s">
        <v>14</v>
      </c>
      <c r="H4" s="25" t="s">
        <v>14</v>
      </c>
      <c r="I4" s="27" t="s">
        <v>14</v>
      </c>
    </row>
    <row r="5" ht="67" customHeight="1" spans="1:9" x14ac:dyDescent="0.25">
      <c r="A5" s="23" t="s">
        <v>1335</v>
      </c>
      <c r="B5" s="24" t="s">
        <v>1336</v>
      </c>
      <c r="C5" s="24" t="s">
        <v>1337</v>
      </c>
      <c r="D5" s="24" t="s">
        <v>1338</v>
      </c>
      <c r="E5" s="24" t="s">
        <v>1339</v>
      </c>
      <c r="F5" s="25" t="s">
        <v>14</v>
      </c>
      <c r="G5" s="25" t="s">
        <v>14</v>
      </c>
      <c r="H5" s="25" t="s">
        <v>14</v>
      </c>
      <c r="I5" s="24" t="s">
        <v>1340</v>
      </c>
    </row>
    <row r="6" ht="41.8" customHeight="1" spans="1:9" x14ac:dyDescent="0.25">
      <c r="A6" s="26" t="s">
        <v>1341</v>
      </c>
      <c r="B6" s="27" t="s">
        <v>1342</v>
      </c>
      <c r="C6" s="27" t="s">
        <v>1343</v>
      </c>
      <c r="D6" s="27" t="s">
        <v>1344</v>
      </c>
      <c r="E6" s="27" t="s">
        <v>1345</v>
      </c>
      <c r="F6" s="25" t="s">
        <v>14</v>
      </c>
      <c r="G6" s="25" t="s">
        <v>14</v>
      </c>
      <c r="H6" s="25" t="s">
        <v>14</v>
      </c>
      <c r="I6" s="27" t="s">
        <v>14</v>
      </c>
    </row>
    <row r="7" ht="18" customHeight="1" spans="1:9" x14ac:dyDescent="0.25">
      <c r="A7" s="22" t="s">
        <v>1346</v>
      </c>
      <c r="B7" s="22"/>
      <c r="C7" s="22"/>
      <c r="D7" s="22"/>
      <c r="E7" s="22"/>
      <c r="F7" s="22"/>
      <c r="G7" s="22"/>
      <c r="H7" s="22"/>
      <c r="I7" s="22"/>
    </row>
    <row r="8" ht="29.2" customHeight="1" spans="1:9" x14ac:dyDescent="0.25">
      <c r="A8" s="23" t="s">
        <v>1347</v>
      </c>
      <c r="B8" s="24" t="s">
        <v>1348</v>
      </c>
      <c r="C8" s="24" t="s">
        <v>1349</v>
      </c>
      <c r="D8" s="24" t="s">
        <v>1350</v>
      </c>
      <c r="E8" s="24" t="s">
        <v>1351</v>
      </c>
      <c r="F8" s="25" t="s">
        <v>14</v>
      </c>
      <c r="G8" s="25" t="s">
        <v>14</v>
      </c>
      <c r="H8" s="25" t="s">
        <v>14</v>
      </c>
      <c r="I8" s="24" t="s">
        <v>14</v>
      </c>
    </row>
    <row r="9" ht="29.2" customHeight="1" spans="1:9" x14ac:dyDescent="0.25">
      <c r="A9" s="26" t="s">
        <v>1352</v>
      </c>
      <c r="B9" s="27" t="s">
        <v>1353</v>
      </c>
      <c r="C9" s="27" t="s">
        <v>1354</v>
      </c>
      <c r="D9" s="27" t="s">
        <v>1355</v>
      </c>
      <c r="E9" s="27" t="s">
        <v>1356</v>
      </c>
      <c r="F9" s="25" t="s">
        <v>14</v>
      </c>
      <c r="G9" s="25" t="s">
        <v>14</v>
      </c>
      <c r="H9" s="25" t="s">
        <v>14</v>
      </c>
      <c r="I9" s="27" t="s">
        <v>14</v>
      </c>
    </row>
    <row r="10" ht="18" customHeight="1" spans="1:9" x14ac:dyDescent="0.25">
      <c r="A10" s="22" t="s">
        <v>1357</v>
      </c>
      <c r="B10" s="22"/>
      <c r="C10" s="22"/>
      <c r="D10" s="22"/>
      <c r="E10" s="22"/>
      <c r="F10" s="22"/>
      <c r="G10" s="22"/>
      <c r="H10" s="22"/>
      <c r="I10" s="22"/>
    </row>
    <row r="11" ht="41.8" customHeight="1" spans="1:9" x14ac:dyDescent="0.25">
      <c r="A11" s="23" t="s">
        <v>1358</v>
      </c>
      <c r="B11" s="24" t="s">
        <v>1359</v>
      </c>
      <c r="C11" s="24" t="s">
        <v>1337</v>
      </c>
      <c r="D11" s="24" t="s">
        <v>1360</v>
      </c>
      <c r="E11" s="24" t="s">
        <v>1361</v>
      </c>
      <c r="F11" s="25" t="s">
        <v>14</v>
      </c>
      <c r="G11" s="25" t="s">
        <v>14</v>
      </c>
      <c r="H11" s="25" t="s">
        <v>14</v>
      </c>
      <c r="I11" s="24" t="s">
        <v>1340</v>
      </c>
    </row>
    <row r="12" ht="29.2" customHeight="1" spans="1:9" x14ac:dyDescent="0.25">
      <c r="A12" s="26" t="s">
        <v>1362</v>
      </c>
      <c r="B12" s="27" t="s">
        <v>1363</v>
      </c>
      <c r="C12" s="27" t="s">
        <v>1364</v>
      </c>
      <c r="D12" s="27" t="s">
        <v>1365</v>
      </c>
      <c r="E12" s="27" t="s">
        <v>1366</v>
      </c>
      <c r="F12" s="25" t="s">
        <v>14</v>
      </c>
      <c r="G12" s="25" t="s">
        <v>14</v>
      </c>
      <c r="H12" s="25" t="s">
        <v>14</v>
      </c>
      <c r="I12" s="27" t="s">
        <v>14</v>
      </c>
    </row>
    <row r="13" ht="18" customHeight="1" spans="1:9" x14ac:dyDescent="0.25">
      <c r="A13" s="22" t="s">
        <v>1367</v>
      </c>
      <c r="B13" s="22"/>
      <c r="C13" s="22"/>
      <c r="D13" s="22"/>
      <c r="E13" s="22"/>
      <c r="F13" s="22"/>
      <c r="G13" s="22"/>
      <c r="H13" s="22"/>
      <c r="I13" s="22"/>
    </row>
    <row r="14" ht="41.8" customHeight="1" spans="1:9" x14ac:dyDescent="0.25">
      <c r="A14" s="23" t="s">
        <v>1368</v>
      </c>
      <c r="B14" s="24" t="s">
        <v>1369</v>
      </c>
      <c r="C14" s="24" t="s">
        <v>1337</v>
      </c>
      <c r="D14" s="24" t="s">
        <v>1370</v>
      </c>
      <c r="E14" s="24" t="s">
        <v>1371</v>
      </c>
      <c r="F14" s="25" t="s">
        <v>14</v>
      </c>
      <c r="G14" s="25" t="s">
        <v>14</v>
      </c>
      <c r="H14" s="25" t="s">
        <v>14</v>
      </c>
      <c r="I14" s="24" t="s">
        <v>14</v>
      </c>
    </row>
    <row r="15" ht="41.8" customHeight="1" spans="1:9" x14ac:dyDescent="0.25">
      <c r="A15" s="26" t="s">
        <v>1372</v>
      </c>
      <c r="B15" s="27" t="s">
        <v>1373</v>
      </c>
      <c r="C15" s="27" t="s">
        <v>1374</v>
      </c>
      <c r="D15" s="27" t="s">
        <v>1375</v>
      </c>
      <c r="E15" s="27" t="s">
        <v>1376</v>
      </c>
      <c r="F15" s="25" t="s">
        <v>14</v>
      </c>
      <c r="G15" s="25" t="s">
        <v>14</v>
      </c>
      <c r="H15" s="25" t="s">
        <v>14</v>
      </c>
      <c r="I15" s="27" t="s">
        <v>14</v>
      </c>
    </row>
  </sheetData>
  <mergeCells count="4">
    <mergeCell ref="A2:I2"/>
    <mergeCell ref="A7:I7"/>
    <mergeCell ref="A10:I10"/>
    <mergeCell ref="A13:I13"/>
  </mergeCells>
  <dataValidations count="4">
    <dataValidation type="list" allowBlank="1" sqref="F11:F12">
      <formula1>"Pass,Fail,N/A"</formula1>
    </dataValidation>
    <dataValidation type="list" allowBlank="1" sqref="F14:F15">
      <formula1>"Pass,Fail,N/A"</formula1>
    </dataValidation>
    <dataValidation type="list" allowBlank="1" sqref="F3:F6">
      <formula1>"Pass,Fail,N/A"</formula1>
    </dataValidation>
    <dataValidation type="list" allowBlank="1" sqref="F8:F9">
      <formula1>"Pass,Fail,N/A"</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1377</v>
      </c>
      <c r="B2" s="22"/>
      <c r="C2" s="22"/>
      <c r="D2" s="22"/>
      <c r="E2" s="22"/>
      <c r="F2" s="22"/>
      <c r="G2" s="22"/>
      <c r="H2" s="22"/>
      <c r="I2" s="22"/>
    </row>
    <row r="3" ht="41.8" customHeight="1" spans="1:9" x14ac:dyDescent="0.25">
      <c r="A3" s="23" t="s">
        <v>1378</v>
      </c>
      <c r="B3" s="24" t="s">
        <v>1379</v>
      </c>
      <c r="C3" s="24" t="s">
        <v>1380</v>
      </c>
      <c r="D3" s="24" t="s">
        <v>1381</v>
      </c>
      <c r="E3" s="24" t="s">
        <v>1382</v>
      </c>
      <c r="F3" s="25" t="s">
        <v>14</v>
      </c>
      <c r="G3" s="25" t="s">
        <v>14</v>
      </c>
      <c r="H3" s="25" t="s">
        <v>14</v>
      </c>
      <c r="I3" s="24" t="s">
        <v>14</v>
      </c>
    </row>
    <row r="4" ht="29.2" customHeight="1" spans="1:9" x14ac:dyDescent="0.25">
      <c r="A4" s="26" t="s">
        <v>1383</v>
      </c>
      <c r="B4" s="27" t="s">
        <v>1384</v>
      </c>
      <c r="C4" s="27" t="s">
        <v>1385</v>
      </c>
      <c r="D4" s="27" t="s">
        <v>1386</v>
      </c>
      <c r="E4" s="27" t="s">
        <v>1387</v>
      </c>
      <c r="F4" s="25" t="s">
        <v>14</v>
      </c>
      <c r="G4" s="25" t="s">
        <v>14</v>
      </c>
      <c r="H4" s="25" t="s">
        <v>14</v>
      </c>
      <c r="I4" s="27" t="s">
        <v>14</v>
      </c>
    </row>
    <row r="5" ht="29.2" customHeight="1" spans="1:9" x14ac:dyDescent="0.25">
      <c r="A5" s="23" t="s">
        <v>1388</v>
      </c>
      <c r="B5" s="24" t="s">
        <v>1389</v>
      </c>
      <c r="C5" s="24" t="s">
        <v>1385</v>
      </c>
      <c r="D5" s="24" t="s">
        <v>1390</v>
      </c>
      <c r="E5" s="24" t="s">
        <v>1391</v>
      </c>
      <c r="F5" s="25" t="s">
        <v>14</v>
      </c>
      <c r="G5" s="25" t="s">
        <v>14</v>
      </c>
      <c r="H5" s="25" t="s">
        <v>14</v>
      </c>
      <c r="I5" s="24" t="s">
        <v>14</v>
      </c>
    </row>
    <row r="6" ht="29.2" customHeight="1" spans="1:9" x14ac:dyDescent="0.25">
      <c r="A6" s="26" t="s">
        <v>1392</v>
      </c>
      <c r="B6" s="27" t="s">
        <v>1393</v>
      </c>
      <c r="C6" s="27" t="s">
        <v>1394</v>
      </c>
      <c r="D6" s="27" t="s">
        <v>1395</v>
      </c>
      <c r="E6" s="27" t="s">
        <v>1396</v>
      </c>
      <c r="F6" s="25" t="s">
        <v>14</v>
      </c>
      <c r="G6" s="25" t="s">
        <v>14</v>
      </c>
      <c r="H6" s="25" t="s">
        <v>14</v>
      </c>
      <c r="I6" s="27" t="s">
        <v>14</v>
      </c>
    </row>
    <row r="7" ht="41.8" customHeight="1" spans="1:9" x14ac:dyDescent="0.25">
      <c r="A7" s="23" t="s">
        <v>1397</v>
      </c>
      <c r="B7" s="24" t="s">
        <v>1398</v>
      </c>
      <c r="C7" s="24" t="s">
        <v>1399</v>
      </c>
      <c r="D7" s="24" t="s">
        <v>1400</v>
      </c>
      <c r="E7" s="24" t="s">
        <v>1401</v>
      </c>
      <c r="F7" s="25" t="s">
        <v>14</v>
      </c>
      <c r="G7" s="25" t="s">
        <v>14</v>
      </c>
      <c r="H7" s="25" t="s">
        <v>14</v>
      </c>
      <c r="I7" s="24" t="s">
        <v>14</v>
      </c>
    </row>
    <row r="8" ht="16.6" customHeight="1" spans="1:9" x14ac:dyDescent="0.25">
      <c r="A8" s="26" t="s">
        <v>1402</v>
      </c>
      <c r="B8" s="27" t="s">
        <v>1403</v>
      </c>
      <c r="C8" s="27" t="s">
        <v>1394</v>
      </c>
      <c r="D8" s="27" t="s">
        <v>1404</v>
      </c>
      <c r="E8" s="27" t="s">
        <v>1405</v>
      </c>
      <c r="F8" s="25" t="s">
        <v>14</v>
      </c>
      <c r="G8" s="25" t="s">
        <v>14</v>
      </c>
      <c r="H8" s="25" t="s">
        <v>14</v>
      </c>
      <c r="I8" s="27" t="s">
        <v>14</v>
      </c>
    </row>
    <row r="9" ht="18" customHeight="1" spans="1:9" x14ac:dyDescent="0.25">
      <c r="A9" s="22" t="s">
        <v>1406</v>
      </c>
      <c r="B9" s="22"/>
      <c r="C9" s="22"/>
      <c r="D9" s="22"/>
      <c r="E9" s="22"/>
      <c r="F9" s="22"/>
      <c r="G9" s="22"/>
      <c r="H9" s="22"/>
      <c r="I9" s="22"/>
    </row>
    <row r="10" ht="41.8" customHeight="1" spans="1:9" x14ac:dyDescent="0.25">
      <c r="A10" s="23" t="s">
        <v>1407</v>
      </c>
      <c r="B10" s="24" t="s">
        <v>1408</v>
      </c>
      <c r="C10" s="24" t="s">
        <v>1409</v>
      </c>
      <c r="D10" s="24" t="s">
        <v>1410</v>
      </c>
      <c r="E10" s="24" t="s">
        <v>1411</v>
      </c>
      <c r="F10" s="25" t="s">
        <v>14</v>
      </c>
      <c r="G10" s="25" t="s">
        <v>14</v>
      </c>
      <c r="H10" s="25" t="s">
        <v>14</v>
      </c>
      <c r="I10" s="24" t="s">
        <v>1412</v>
      </c>
    </row>
    <row r="11" ht="29.2" customHeight="1" spans="1:9" x14ac:dyDescent="0.25">
      <c r="A11" s="26" t="s">
        <v>1413</v>
      </c>
      <c r="B11" s="27" t="s">
        <v>1414</v>
      </c>
      <c r="C11" s="27" t="s">
        <v>1415</v>
      </c>
      <c r="D11" s="27" t="s">
        <v>1416</v>
      </c>
      <c r="E11" s="27" t="s">
        <v>1417</v>
      </c>
      <c r="F11" s="25" t="s">
        <v>14</v>
      </c>
      <c r="G11" s="25" t="s">
        <v>14</v>
      </c>
      <c r="H11" s="25" t="s">
        <v>14</v>
      </c>
      <c r="I11" s="27" t="s">
        <v>14</v>
      </c>
    </row>
  </sheetData>
  <mergeCells count="2">
    <mergeCell ref="A2:I2"/>
    <mergeCell ref="A9:I9"/>
  </mergeCells>
  <dataValidations count="2">
    <dataValidation type="list" allowBlank="1" sqref="F10:F11">
      <formula1>"Pass,Fail,N/A"</formula1>
    </dataValidation>
    <dataValidation type="list" allowBlank="1" sqref="F3:F8">
      <formula1>"Pass,Fail,N/A"</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1418</v>
      </c>
      <c r="B2" s="22"/>
      <c r="C2" s="22"/>
      <c r="D2" s="22"/>
      <c r="E2" s="22"/>
      <c r="F2" s="22"/>
      <c r="G2" s="22"/>
      <c r="H2" s="22"/>
      <c r="I2" s="22"/>
    </row>
    <row r="3" ht="54.4" customHeight="1" spans="1:9" x14ac:dyDescent="0.25">
      <c r="A3" s="23" t="s">
        <v>1419</v>
      </c>
      <c r="B3" s="24" t="s">
        <v>1420</v>
      </c>
      <c r="C3" s="24" t="s">
        <v>1421</v>
      </c>
      <c r="D3" s="24" t="s">
        <v>1422</v>
      </c>
      <c r="E3" s="24" t="s">
        <v>1423</v>
      </c>
      <c r="F3" s="25" t="s">
        <v>14</v>
      </c>
      <c r="G3" s="25" t="s">
        <v>14</v>
      </c>
      <c r="H3" s="25" t="s">
        <v>14</v>
      </c>
      <c r="I3" s="24" t="s">
        <v>1424</v>
      </c>
    </row>
    <row r="4" ht="54.4" customHeight="1" spans="1:9" x14ac:dyDescent="0.25">
      <c r="A4" s="26" t="s">
        <v>1425</v>
      </c>
      <c r="B4" s="27" t="s">
        <v>1420</v>
      </c>
      <c r="C4" s="27" t="s">
        <v>1426</v>
      </c>
      <c r="D4" s="27" t="s">
        <v>1427</v>
      </c>
      <c r="E4" s="27" t="s">
        <v>1428</v>
      </c>
      <c r="F4" s="25" t="s">
        <v>14</v>
      </c>
      <c r="G4" s="25" t="s">
        <v>14</v>
      </c>
      <c r="H4" s="25" t="s">
        <v>14</v>
      </c>
      <c r="I4" s="27" t="s">
        <v>14</v>
      </c>
    </row>
    <row r="5" ht="18" customHeight="1" spans="1:9" x14ac:dyDescent="0.25">
      <c r="A5" s="22" t="s">
        <v>1429</v>
      </c>
      <c r="B5" s="22"/>
      <c r="C5" s="22"/>
      <c r="D5" s="22"/>
      <c r="E5" s="22"/>
      <c r="F5" s="22"/>
      <c r="G5" s="22"/>
      <c r="H5" s="22"/>
      <c r="I5" s="22"/>
    </row>
    <row r="6" ht="67" customHeight="1" spans="1:9" x14ac:dyDescent="0.25">
      <c r="A6" s="23" t="s">
        <v>1430</v>
      </c>
      <c r="B6" s="24" t="s">
        <v>1431</v>
      </c>
      <c r="C6" s="24" t="s">
        <v>1432</v>
      </c>
      <c r="D6" s="24" t="s">
        <v>1433</v>
      </c>
      <c r="E6" s="24" t="s">
        <v>1434</v>
      </c>
      <c r="F6" s="25" t="s">
        <v>14</v>
      </c>
      <c r="G6" s="25" t="s">
        <v>14</v>
      </c>
      <c r="H6" s="25" t="s">
        <v>14</v>
      </c>
      <c r="I6" s="24" t="s">
        <v>1435</v>
      </c>
    </row>
    <row r="7" ht="54.4" customHeight="1" spans="1:9" x14ac:dyDescent="0.25">
      <c r="A7" s="26" t="s">
        <v>1436</v>
      </c>
      <c r="B7" s="27" t="s">
        <v>1431</v>
      </c>
      <c r="C7" s="27" t="s">
        <v>1437</v>
      </c>
      <c r="D7" s="27" t="s">
        <v>1438</v>
      </c>
      <c r="E7" s="27" t="s">
        <v>1439</v>
      </c>
      <c r="F7" s="25" t="s">
        <v>14</v>
      </c>
      <c r="G7" s="25" t="s">
        <v>14</v>
      </c>
      <c r="H7" s="25" t="s">
        <v>14</v>
      </c>
      <c r="I7" s="27" t="s">
        <v>1440</v>
      </c>
    </row>
    <row r="8" ht="18" customHeight="1" spans="1:9" x14ac:dyDescent="0.25">
      <c r="A8" s="22" t="s">
        <v>1441</v>
      </c>
      <c r="B8" s="22"/>
      <c r="C8" s="22"/>
      <c r="D8" s="22"/>
      <c r="E8" s="22"/>
      <c r="F8" s="22"/>
      <c r="G8" s="22"/>
      <c r="H8" s="22"/>
      <c r="I8" s="22"/>
    </row>
    <row r="9" ht="41.8" customHeight="1" spans="1:9" x14ac:dyDescent="0.25">
      <c r="A9" s="23" t="s">
        <v>1442</v>
      </c>
      <c r="B9" s="24" t="s">
        <v>1443</v>
      </c>
      <c r="C9" s="24" t="s">
        <v>1444</v>
      </c>
      <c r="D9" s="24" t="s">
        <v>1445</v>
      </c>
      <c r="E9" s="24" t="s">
        <v>1446</v>
      </c>
      <c r="F9" s="25" t="s">
        <v>14</v>
      </c>
      <c r="G9" s="25" t="s">
        <v>14</v>
      </c>
      <c r="H9" s="25" t="s">
        <v>14</v>
      </c>
      <c r="I9" s="24" t="s">
        <v>1447</v>
      </c>
    </row>
    <row r="10" ht="79.6" customHeight="1" spans="1:9" x14ac:dyDescent="0.25">
      <c r="A10" s="26" t="s">
        <v>1448</v>
      </c>
      <c r="B10" s="27" t="s">
        <v>1443</v>
      </c>
      <c r="C10" s="27" t="s">
        <v>1449</v>
      </c>
      <c r="D10" s="27" t="s">
        <v>1450</v>
      </c>
      <c r="E10" s="27" t="s">
        <v>1451</v>
      </c>
      <c r="F10" s="25" t="s">
        <v>14</v>
      </c>
      <c r="G10" s="25" t="s">
        <v>14</v>
      </c>
      <c r="H10" s="25" t="s">
        <v>14</v>
      </c>
      <c r="I10" s="27" t="s">
        <v>1452</v>
      </c>
    </row>
    <row r="11" ht="18" customHeight="1" spans="1:9" x14ac:dyDescent="0.25">
      <c r="A11" s="22" t="s">
        <v>1453</v>
      </c>
      <c r="B11" s="22"/>
      <c r="C11" s="22"/>
      <c r="D11" s="22"/>
      <c r="E11" s="22"/>
      <c r="F11" s="22"/>
      <c r="G11" s="22"/>
      <c r="H11" s="22"/>
      <c r="I11" s="22"/>
    </row>
    <row r="12" ht="92.2" customHeight="1" spans="1:9" x14ac:dyDescent="0.25">
      <c r="A12" s="23" t="s">
        <v>1454</v>
      </c>
      <c r="B12" s="24" t="s">
        <v>1455</v>
      </c>
      <c r="C12" s="24" t="s">
        <v>1456</v>
      </c>
      <c r="D12" s="24" t="s">
        <v>1457</v>
      </c>
      <c r="E12" s="24" t="s">
        <v>1458</v>
      </c>
      <c r="F12" s="25" t="s">
        <v>14</v>
      </c>
      <c r="G12" s="25" t="s">
        <v>14</v>
      </c>
      <c r="H12" s="25" t="s">
        <v>14</v>
      </c>
      <c r="I12" s="24" t="s">
        <v>1459</v>
      </c>
    </row>
    <row r="13" ht="67" customHeight="1" spans="1:9" x14ac:dyDescent="0.25">
      <c r="A13" s="26" t="s">
        <v>1460</v>
      </c>
      <c r="B13" s="27" t="s">
        <v>1455</v>
      </c>
      <c r="C13" s="27" t="s">
        <v>1461</v>
      </c>
      <c r="D13" s="27" t="s">
        <v>1462</v>
      </c>
      <c r="E13" s="27" t="s">
        <v>1463</v>
      </c>
      <c r="F13" s="25" t="s">
        <v>14</v>
      </c>
      <c r="G13" s="25" t="s">
        <v>14</v>
      </c>
      <c r="H13" s="25" t="s">
        <v>14</v>
      </c>
      <c r="I13" s="27" t="s">
        <v>1464</v>
      </c>
    </row>
    <row r="14" ht="18" customHeight="1" spans="1:9" x14ac:dyDescent="0.25">
      <c r="A14" s="22" t="s">
        <v>1465</v>
      </c>
      <c r="B14" s="22"/>
      <c r="C14" s="22"/>
      <c r="D14" s="22"/>
      <c r="E14" s="22"/>
      <c r="F14" s="22"/>
      <c r="G14" s="22"/>
      <c r="H14" s="22"/>
      <c r="I14" s="22"/>
    </row>
    <row r="15" ht="54.4" customHeight="1" spans="1:9" x14ac:dyDescent="0.25">
      <c r="A15" s="23" t="s">
        <v>1466</v>
      </c>
      <c r="B15" s="24" t="s">
        <v>1467</v>
      </c>
      <c r="C15" s="24" t="s">
        <v>1468</v>
      </c>
      <c r="D15" s="24" t="s">
        <v>1469</v>
      </c>
      <c r="E15" s="24" t="s">
        <v>1470</v>
      </c>
      <c r="F15" s="25" t="s">
        <v>14</v>
      </c>
      <c r="G15" s="25" t="s">
        <v>14</v>
      </c>
      <c r="H15" s="25" t="s">
        <v>14</v>
      </c>
      <c r="I15" s="24" t="s">
        <v>1440</v>
      </c>
    </row>
    <row r="16" ht="79.6" customHeight="1" spans="1:9" x14ac:dyDescent="0.25">
      <c r="A16" s="26" t="s">
        <v>1471</v>
      </c>
      <c r="B16" s="27" t="s">
        <v>1467</v>
      </c>
      <c r="C16" s="27" t="s">
        <v>1472</v>
      </c>
      <c r="D16" s="27" t="s">
        <v>1473</v>
      </c>
      <c r="E16" s="27" t="s">
        <v>1474</v>
      </c>
      <c r="F16" s="25" t="s">
        <v>14</v>
      </c>
      <c r="G16" s="25" t="s">
        <v>14</v>
      </c>
      <c r="H16" s="25" t="s">
        <v>14</v>
      </c>
      <c r="I16" s="27" t="s">
        <v>1475</v>
      </c>
    </row>
    <row r="17" ht="54.4" customHeight="1" spans="1:9" x14ac:dyDescent="0.25">
      <c r="A17" s="23" t="s">
        <v>1476</v>
      </c>
      <c r="B17" s="24" t="s">
        <v>1467</v>
      </c>
      <c r="C17" s="24" t="s">
        <v>1477</v>
      </c>
      <c r="D17" s="24" t="s">
        <v>1478</v>
      </c>
      <c r="E17" s="24" t="s">
        <v>1479</v>
      </c>
      <c r="F17" s="25" t="s">
        <v>14</v>
      </c>
      <c r="G17" s="25" t="s">
        <v>14</v>
      </c>
      <c r="H17" s="25" t="s">
        <v>14</v>
      </c>
      <c r="I17" s="24" t="s">
        <v>1440</v>
      </c>
    </row>
    <row r="18" ht="18" customHeight="1" spans="1:9" x14ac:dyDescent="0.25">
      <c r="A18" s="22" t="s">
        <v>1480</v>
      </c>
      <c r="B18" s="22"/>
      <c r="C18" s="22"/>
      <c r="D18" s="22"/>
      <c r="E18" s="22"/>
      <c r="F18" s="22"/>
      <c r="G18" s="22"/>
      <c r="H18" s="22"/>
      <c r="I18" s="22"/>
    </row>
    <row r="19" ht="117.39999999999999" customHeight="1" spans="1:9" x14ac:dyDescent="0.25">
      <c r="A19" s="23" t="s">
        <v>721</v>
      </c>
      <c r="B19" s="24" t="s">
        <v>1481</v>
      </c>
      <c r="C19" s="24" t="s">
        <v>1482</v>
      </c>
      <c r="D19" s="24" t="s">
        <v>1483</v>
      </c>
      <c r="E19" s="24" t="s">
        <v>1484</v>
      </c>
      <c r="F19" s="25" t="s">
        <v>14</v>
      </c>
      <c r="G19" s="25" t="s">
        <v>14</v>
      </c>
      <c r="H19" s="25" t="s">
        <v>14</v>
      </c>
      <c r="I19" s="24" t="s">
        <v>1485</v>
      </c>
    </row>
    <row r="20" ht="18" customHeight="1" spans="1:9" x14ac:dyDescent="0.25">
      <c r="A20" s="22" t="s">
        <v>1486</v>
      </c>
      <c r="B20" s="22"/>
      <c r="C20" s="22"/>
      <c r="D20" s="22"/>
      <c r="E20" s="22"/>
      <c r="F20" s="22"/>
      <c r="G20" s="22"/>
      <c r="H20" s="22"/>
      <c r="I20" s="22"/>
    </row>
    <row r="21" ht="67" customHeight="1" spans="1:9" x14ac:dyDescent="0.25">
      <c r="A21" s="23" t="s">
        <v>724</v>
      </c>
      <c r="B21" s="24" t="s">
        <v>1487</v>
      </c>
      <c r="C21" s="24" t="s">
        <v>1482</v>
      </c>
      <c r="D21" s="24" t="s">
        <v>1488</v>
      </c>
      <c r="E21" s="24" t="s">
        <v>1489</v>
      </c>
      <c r="F21" s="25" t="s">
        <v>14</v>
      </c>
      <c r="G21" s="25" t="s">
        <v>14</v>
      </c>
      <c r="H21" s="25" t="s">
        <v>14</v>
      </c>
      <c r="I21" s="24" t="s">
        <v>1490</v>
      </c>
    </row>
    <row r="22" ht="18" customHeight="1" spans="1:9" x14ac:dyDescent="0.25">
      <c r="A22" s="22" t="s">
        <v>1491</v>
      </c>
      <c r="B22" s="22"/>
      <c r="C22" s="22"/>
      <c r="D22" s="22"/>
      <c r="E22" s="22"/>
      <c r="F22" s="22"/>
      <c r="G22" s="22"/>
      <c r="H22" s="22"/>
      <c r="I22" s="22"/>
    </row>
    <row r="23" ht="41.8" customHeight="1" spans="1:9" x14ac:dyDescent="0.25">
      <c r="A23" s="23" t="s">
        <v>1492</v>
      </c>
      <c r="B23" s="24" t="s">
        <v>1493</v>
      </c>
      <c r="C23" s="24" t="s">
        <v>1494</v>
      </c>
      <c r="D23" s="24" t="s">
        <v>1495</v>
      </c>
      <c r="E23" s="24" t="s">
        <v>1496</v>
      </c>
      <c r="F23" s="25" t="s">
        <v>14</v>
      </c>
      <c r="G23" s="25" t="s">
        <v>14</v>
      </c>
      <c r="H23" s="25" t="s">
        <v>14</v>
      </c>
      <c r="I23" s="24" t="s">
        <v>1497</v>
      </c>
    </row>
    <row r="24" ht="41.8" customHeight="1" spans="1:9" x14ac:dyDescent="0.25">
      <c r="A24" s="26" t="s">
        <v>1498</v>
      </c>
      <c r="B24" s="27" t="s">
        <v>1493</v>
      </c>
      <c r="C24" s="27" t="s">
        <v>1499</v>
      </c>
      <c r="D24" s="27" t="s">
        <v>1500</v>
      </c>
      <c r="E24" s="27" t="s">
        <v>1501</v>
      </c>
      <c r="F24" s="25" t="s">
        <v>14</v>
      </c>
      <c r="G24" s="25" t="s">
        <v>14</v>
      </c>
      <c r="H24" s="25" t="s">
        <v>14</v>
      </c>
      <c r="I24" s="27" t="s">
        <v>14</v>
      </c>
    </row>
    <row r="25" ht="18" customHeight="1" spans="1:9" x14ac:dyDescent="0.25">
      <c r="A25" s="22" t="s">
        <v>1502</v>
      </c>
      <c r="B25" s="22"/>
      <c r="C25" s="22"/>
      <c r="D25" s="22"/>
      <c r="E25" s="22"/>
      <c r="F25" s="22"/>
      <c r="G25" s="22"/>
      <c r="H25" s="22"/>
      <c r="I25" s="22"/>
    </row>
    <row r="26" ht="67" customHeight="1" spans="1:9" x14ac:dyDescent="0.25">
      <c r="A26" s="23" t="s">
        <v>1503</v>
      </c>
      <c r="B26" s="24" t="s">
        <v>1504</v>
      </c>
      <c r="C26" s="24" t="s">
        <v>1494</v>
      </c>
      <c r="D26" s="24" t="s">
        <v>1505</v>
      </c>
      <c r="E26" s="24" t="s">
        <v>1506</v>
      </c>
      <c r="F26" s="25" t="s">
        <v>14</v>
      </c>
      <c r="G26" s="25" t="s">
        <v>14</v>
      </c>
      <c r="H26" s="25" t="s">
        <v>14</v>
      </c>
      <c r="I26" s="24" t="s">
        <v>1507</v>
      </c>
    </row>
    <row r="27" ht="67" customHeight="1" spans="1:9" x14ac:dyDescent="0.25">
      <c r="A27" s="26" t="s">
        <v>1508</v>
      </c>
      <c r="B27" s="27" t="s">
        <v>1504</v>
      </c>
      <c r="C27" s="27" t="s">
        <v>1509</v>
      </c>
      <c r="D27" s="27" t="s">
        <v>1510</v>
      </c>
      <c r="E27" s="27" t="s">
        <v>1511</v>
      </c>
      <c r="F27" s="25" t="s">
        <v>14</v>
      </c>
      <c r="G27" s="25" t="s">
        <v>14</v>
      </c>
      <c r="H27" s="25" t="s">
        <v>14</v>
      </c>
      <c r="I27" s="27" t="s">
        <v>14</v>
      </c>
    </row>
    <row r="28" ht="18" customHeight="1" spans="1:9" x14ac:dyDescent="0.25">
      <c r="A28" s="22" t="s">
        <v>1512</v>
      </c>
      <c r="B28" s="22"/>
      <c r="C28" s="22"/>
      <c r="D28" s="22"/>
      <c r="E28" s="22"/>
      <c r="F28" s="22"/>
      <c r="G28" s="22"/>
      <c r="H28" s="22"/>
      <c r="I28" s="22"/>
    </row>
    <row r="29" ht="67" customHeight="1" spans="1:9" x14ac:dyDescent="0.25">
      <c r="A29" s="23" t="s">
        <v>1513</v>
      </c>
      <c r="B29" s="24" t="s">
        <v>1514</v>
      </c>
      <c r="C29" s="24" t="s">
        <v>1515</v>
      </c>
      <c r="D29" s="24" t="s">
        <v>1516</v>
      </c>
      <c r="E29" s="24" t="s">
        <v>1517</v>
      </c>
      <c r="F29" s="25" t="s">
        <v>14</v>
      </c>
      <c r="G29" s="25" t="s">
        <v>14</v>
      </c>
      <c r="H29" s="25" t="s">
        <v>14</v>
      </c>
      <c r="I29" s="24" t="s">
        <v>1518</v>
      </c>
    </row>
    <row r="30" ht="67" customHeight="1" spans="1:9" x14ac:dyDescent="0.25">
      <c r="A30" s="26" t="s">
        <v>1519</v>
      </c>
      <c r="B30" s="27" t="s">
        <v>1514</v>
      </c>
      <c r="C30" s="27" t="s">
        <v>1520</v>
      </c>
      <c r="D30" s="27" t="s">
        <v>1521</v>
      </c>
      <c r="E30" s="27" t="s">
        <v>1522</v>
      </c>
      <c r="F30" s="25" t="s">
        <v>14</v>
      </c>
      <c r="G30" s="25" t="s">
        <v>14</v>
      </c>
      <c r="H30" s="25" t="s">
        <v>14</v>
      </c>
      <c r="I30" s="27" t="s">
        <v>1440</v>
      </c>
    </row>
    <row r="31" ht="18" customHeight="1" spans="1:9" x14ac:dyDescent="0.25">
      <c r="A31" s="22" t="s">
        <v>1523</v>
      </c>
      <c r="B31" s="22"/>
      <c r="C31" s="22"/>
      <c r="D31" s="22"/>
      <c r="E31" s="22"/>
      <c r="F31" s="22"/>
      <c r="G31" s="22"/>
      <c r="H31" s="22"/>
      <c r="I31" s="22"/>
    </row>
    <row r="32" ht="67" customHeight="1" spans="1:9" x14ac:dyDescent="0.25">
      <c r="A32" s="23" t="s">
        <v>1524</v>
      </c>
      <c r="B32" s="24" t="s">
        <v>1525</v>
      </c>
      <c r="C32" s="24" t="s">
        <v>1526</v>
      </c>
      <c r="D32" s="24" t="s">
        <v>1527</v>
      </c>
      <c r="E32" s="24" t="s">
        <v>1528</v>
      </c>
      <c r="F32" s="25" t="s">
        <v>14</v>
      </c>
      <c r="G32" s="25" t="s">
        <v>14</v>
      </c>
      <c r="H32" s="25" t="s">
        <v>14</v>
      </c>
      <c r="I32" s="24" t="s">
        <v>1529</v>
      </c>
    </row>
    <row r="33" ht="41.8" customHeight="1" spans="1:9" x14ac:dyDescent="0.25">
      <c r="A33" s="26" t="s">
        <v>1530</v>
      </c>
      <c r="B33" s="27" t="s">
        <v>1525</v>
      </c>
      <c r="C33" s="27" t="s">
        <v>1526</v>
      </c>
      <c r="D33" s="27" t="s">
        <v>1531</v>
      </c>
      <c r="E33" s="27" t="s">
        <v>1532</v>
      </c>
      <c r="F33" s="25" t="s">
        <v>14</v>
      </c>
      <c r="G33" s="25" t="s">
        <v>14</v>
      </c>
      <c r="H33" s="25" t="s">
        <v>14</v>
      </c>
      <c r="I33" s="27" t="s">
        <v>14</v>
      </c>
    </row>
    <row r="34" ht="18" customHeight="1" spans="1:9" x14ac:dyDescent="0.25">
      <c r="A34" s="22" t="s">
        <v>1533</v>
      </c>
      <c r="B34" s="22"/>
      <c r="C34" s="22"/>
      <c r="D34" s="22"/>
      <c r="E34" s="22"/>
      <c r="F34" s="22"/>
      <c r="G34" s="22"/>
      <c r="H34" s="22"/>
      <c r="I34" s="22"/>
    </row>
    <row r="35" ht="54.4" customHeight="1" spans="1:9" x14ac:dyDescent="0.25">
      <c r="A35" s="23" t="s">
        <v>1534</v>
      </c>
      <c r="B35" s="24" t="s">
        <v>1535</v>
      </c>
      <c r="C35" s="24" t="s">
        <v>1536</v>
      </c>
      <c r="D35" s="24" t="s">
        <v>1537</v>
      </c>
      <c r="E35" s="24" t="s">
        <v>1538</v>
      </c>
      <c r="F35" s="25" t="s">
        <v>14</v>
      </c>
      <c r="G35" s="25" t="s">
        <v>14</v>
      </c>
      <c r="H35" s="25" t="s">
        <v>14</v>
      </c>
      <c r="I35" s="24" t="s">
        <v>14</v>
      </c>
    </row>
    <row r="36" ht="79.6" customHeight="1" spans="1:9" x14ac:dyDescent="0.25">
      <c r="A36" s="26" t="s">
        <v>1539</v>
      </c>
      <c r="B36" s="27" t="s">
        <v>1535</v>
      </c>
      <c r="C36" s="27" t="s">
        <v>1540</v>
      </c>
      <c r="D36" s="27" t="s">
        <v>1541</v>
      </c>
      <c r="E36" s="27" t="s">
        <v>1542</v>
      </c>
      <c r="F36" s="25" t="s">
        <v>14</v>
      </c>
      <c r="G36" s="25" t="s">
        <v>14</v>
      </c>
      <c r="H36" s="25" t="s">
        <v>14</v>
      </c>
      <c r="I36" s="27" t="s">
        <v>1543</v>
      </c>
    </row>
  </sheetData>
  <mergeCells count="12">
    <mergeCell ref="A2:I2"/>
    <mergeCell ref="A5:I5"/>
    <mergeCell ref="A8:I8"/>
    <mergeCell ref="A11:I11"/>
    <mergeCell ref="A14:I14"/>
    <mergeCell ref="A18:I18"/>
    <mergeCell ref="A20:I20"/>
    <mergeCell ref="A22:I22"/>
    <mergeCell ref="A25:I25"/>
    <mergeCell ref="A28:I28"/>
    <mergeCell ref="A31:I31"/>
    <mergeCell ref="A34:I34"/>
  </mergeCells>
  <dataValidations count="13">
    <dataValidation type="list" allowBlank="1" sqref="F10">
      <formula1>"Pass,Fail,N/A"</formula1>
    </dataValidation>
    <dataValidation type="list" allowBlank="1" sqref="F12:F13">
      <formula1>"Pass,Fail,N/A"</formula1>
    </dataValidation>
    <dataValidation type="list" allowBlank="1" sqref="F15:F17">
      <formula1>"Pass,Fail,N/A"</formula1>
    </dataValidation>
    <dataValidation type="list" allowBlank="1" sqref="F19">
      <formula1>"Pass,Fail,N/A"</formula1>
    </dataValidation>
    <dataValidation type="list" allowBlank="1" sqref="F21">
      <formula1>"Pass,Fail,N/A"</formula1>
    </dataValidation>
    <dataValidation type="list" allowBlank="1" sqref="F23:F24">
      <formula1>"Pass,Fail,N/A"</formula1>
    </dataValidation>
    <dataValidation type="list" allowBlank="1" sqref="F26:F27">
      <formula1>"Pass,Fail,N/A"</formula1>
    </dataValidation>
    <dataValidation type="list" allowBlank="1" sqref="F29:F30">
      <formula1>"Pass,Fail,N/A"</formula1>
    </dataValidation>
    <dataValidation type="list" allowBlank="1" sqref="F3:F4">
      <formula1>"Pass,Fail,N/A"</formula1>
    </dataValidation>
    <dataValidation type="list" allowBlank="1" sqref="F32:F33">
      <formula1>"Pass,Fail,N/A"</formula1>
    </dataValidation>
    <dataValidation type="list" allowBlank="1" sqref="F35:F36">
      <formula1>"Pass,Fail,N/A"</formula1>
    </dataValidation>
    <dataValidation type="list" allowBlank="1" sqref="F6:F7">
      <formula1>"Pass,Fail,N/A"</formula1>
    </dataValidation>
    <dataValidation type="list" allowBlank="1" sqref="F9:F10">
      <formula1>"Pass,Fail,N/A"</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1544</v>
      </c>
      <c r="B2" s="22"/>
      <c r="C2" s="22"/>
      <c r="D2" s="22"/>
      <c r="E2" s="22"/>
      <c r="F2" s="22"/>
      <c r="G2" s="22"/>
      <c r="H2" s="22"/>
      <c r="I2" s="22"/>
    </row>
    <row r="3" ht="41.8" customHeight="1" spans="1:9" x14ac:dyDescent="0.25">
      <c r="A3" s="23" t="s">
        <v>1545</v>
      </c>
      <c r="B3" s="24" t="s">
        <v>1546</v>
      </c>
      <c r="C3" s="24" t="s">
        <v>1547</v>
      </c>
      <c r="D3" s="24" t="s">
        <v>1548</v>
      </c>
      <c r="E3" s="24" t="s">
        <v>1549</v>
      </c>
      <c r="F3" s="25" t="s">
        <v>14</v>
      </c>
      <c r="G3" s="25" t="s">
        <v>14</v>
      </c>
      <c r="H3" s="25" t="s">
        <v>14</v>
      </c>
      <c r="I3" s="24" t="s">
        <v>14</v>
      </c>
    </row>
    <row r="4" ht="29.2" customHeight="1" spans="1:9" x14ac:dyDescent="0.25">
      <c r="A4" s="26" t="s">
        <v>1550</v>
      </c>
      <c r="B4" s="27" t="s">
        <v>1551</v>
      </c>
      <c r="C4" s="27" t="s">
        <v>1552</v>
      </c>
      <c r="D4" s="27" t="s">
        <v>1553</v>
      </c>
      <c r="E4" s="27" t="s">
        <v>1554</v>
      </c>
      <c r="F4" s="25" t="s">
        <v>14</v>
      </c>
      <c r="G4" s="25" t="s">
        <v>14</v>
      </c>
      <c r="H4" s="25" t="s">
        <v>14</v>
      </c>
      <c r="I4" s="27" t="s">
        <v>14</v>
      </c>
    </row>
    <row r="5" ht="18" customHeight="1" spans="1:9" x14ac:dyDescent="0.25">
      <c r="A5" s="22" t="s">
        <v>1555</v>
      </c>
      <c r="B5" s="22"/>
      <c r="C5" s="22"/>
      <c r="D5" s="22"/>
      <c r="E5" s="22"/>
      <c r="F5" s="22"/>
      <c r="G5" s="22"/>
      <c r="H5" s="22"/>
      <c r="I5" s="22"/>
    </row>
    <row r="6" ht="41.8" customHeight="1" spans="1:9" x14ac:dyDescent="0.25">
      <c r="A6" s="23" t="s">
        <v>1556</v>
      </c>
      <c r="B6" s="24" t="s">
        <v>1557</v>
      </c>
      <c r="C6" s="24" t="s">
        <v>1558</v>
      </c>
      <c r="D6" s="24" t="s">
        <v>1559</v>
      </c>
      <c r="E6" s="24" t="s">
        <v>1560</v>
      </c>
      <c r="F6" s="25" t="s">
        <v>14</v>
      </c>
      <c r="G6" s="25" t="s">
        <v>14</v>
      </c>
      <c r="H6" s="25" t="s">
        <v>14</v>
      </c>
      <c r="I6" s="24" t="s">
        <v>14</v>
      </c>
    </row>
    <row r="7" ht="29.2" customHeight="1" spans="1:9" x14ac:dyDescent="0.25">
      <c r="A7" s="26" t="s">
        <v>1561</v>
      </c>
      <c r="B7" s="27" t="s">
        <v>1562</v>
      </c>
      <c r="C7" s="27" t="s">
        <v>1563</v>
      </c>
      <c r="D7" s="27" t="s">
        <v>1564</v>
      </c>
      <c r="E7" s="27" t="s">
        <v>1565</v>
      </c>
      <c r="F7" s="25" t="s">
        <v>14</v>
      </c>
      <c r="G7" s="25" t="s">
        <v>14</v>
      </c>
      <c r="H7" s="25" t="s">
        <v>14</v>
      </c>
      <c r="I7" s="27" t="s">
        <v>14</v>
      </c>
    </row>
    <row r="8" ht="18" customHeight="1" spans="1:9" x14ac:dyDescent="0.25">
      <c r="A8" s="22" t="s">
        <v>1566</v>
      </c>
      <c r="B8" s="22"/>
      <c r="C8" s="22"/>
      <c r="D8" s="22"/>
      <c r="E8" s="22"/>
      <c r="F8" s="22"/>
      <c r="G8" s="22"/>
      <c r="H8" s="22"/>
      <c r="I8" s="22"/>
    </row>
    <row r="9" ht="41.8" customHeight="1" spans="1:9" x14ac:dyDescent="0.25">
      <c r="A9" s="23" t="s">
        <v>1567</v>
      </c>
      <c r="B9" s="24" t="s">
        <v>1568</v>
      </c>
      <c r="C9" s="24" t="s">
        <v>1569</v>
      </c>
      <c r="D9" s="24" t="s">
        <v>1570</v>
      </c>
      <c r="E9" s="24" t="s">
        <v>1571</v>
      </c>
      <c r="F9" s="25" t="s">
        <v>14</v>
      </c>
      <c r="G9" s="25" t="s">
        <v>14</v>
      </c>
      <c r="H9" s="25" t="s">
        <v>14</v>
      </c>
      <c r="I9" s="24" t="s">
        <v>14</v>
      </c>
    </row>
    <row r="10" ht="41.8" customHeight="1" spans="1:9" x14ac:dyDescent="0.25">
      <c r="A10" s="26" t="s">
        <v>1572</v>
      </c>
      <c r="B10" s="27" t="s">
        <v>1573</v>
      </c>
      <c r="C10" s="27" t="s">
        <v>1574</v>
      </c>
      <c r="D10" s="27" t="s">
        <v>1575</v>
      </c>
      <c r="E10" s="27" t="s">
        <v>1576</v>
      </c>
      <c r="F10" s="25" t="s">
        <v>14</v>
      </c>
      <c r="G10" s="25" t="s">
        <v>14</v>
      </c>
      <c r="H10" s="25" t="s">
        <v>14</v>
      </c>
      <c r="I10" s="27" t="s">
        <v>14</v>
      </c>
    </row>
    <row r="11" ht="18" customHeight="1" spans="1:9" x14ac:dyDescent="0.25">
      <c r="A11" s="22" t="s">
        <v>1577</v>
      </c>
      <c r="B11" s="22"/>
      <c r="C11" s="22"/>
      <c r="D11" s="22"/>
      <c r="E11" s="22"/>
      <c r="F11" s="22"/>
      <c r="G11" s="22"/>
      <c r="H11" s="22"/>
      <c r="I11" s="22"/>
    </row>
    <row r="12" ht="41.8" customHeight="1" spans="1:9" x14ac:dyDescent="0.25">
      <c r="A12" s="23" t="s">
        <v>252</v>
      </c>
      <c r="B12" s="24" t="s">
        <v>1578</v>
      </c>
      <c r="C12" s="24" t="s">
        <v>1579</v>
      </c>
      <c r="D12" s="24" t="s">
        <v>1580</v>
      </c>
      <c r="E12" s="24" t="s">
        <v>1581</v>
      </c>
      <c r="F12" s="25" t="s">
        <v>14</v>
      </c>
      <c r="G12" s="25" t="s">
        <v>14</v>
      </c>
      <c r="H12" s="25" t="s">
        <v>14</v>
      </c>
      <c r="I12" s="24" t="s">
        <v>14</v>
      </c>
    </row>
    <row r="13" ht="18" customHeight="1" spans="1:9" x14ac:dyDescent="0.25">
      <c r="A13" s="22" t="s">
        <v>1582</v>
      </c>
      <c r="B13" s="22"/>
      <c r="C13" s="22"/>
      <c r="D13" s="22"/>
      <c r="E13" s="22"/>
      <c r="F13" s="22"/>
      <c r="G13" s="22"/>
      <c r="H13" s="22"/>
      <c r="I13" s="22"/>
    </row>
    <row r="14" ht="41.8" customHeight="1" spans="1:9" x14ac:dyDescent="0.25">
      <c r="A14" s="23" t="s">
        <v>1583</v>
      </c>
      <c r="B14" s="24" t="s">
        <v>1584</v>
      </c>
      <c r="C14" s="24" t="s">
        <v>1585</v>
      </c>
      <c r="D14" s="24" t="s">
        <v>1586</v>
      </c>
      <c r="E14" s="24" t="s">
        <v>1587</v>
      </c>
      <c r="F14" s="25" t="s">
        <v>14</v>
      </c>
      <c r="G14" s="25" t="s">
        <v>14</v>
      </c>
      <c r="H14" s="25" t="s">
        <v>14</v>
      </c>
      <c r="I14" s="24" t="s">
        <v>14</v>
      </c>
    </row>
    <row r="15" ht="41.8" customHeight="1" spans="1:9" x14ac:dyDescent="0.25">
      <c r="A15" s="26" t="s">
        <v>1588</v>
      </c>
      <c r="B15" s="27" t="s">
        <v>1589</v>
      </c>
      <c r="C15" s="27" t="s">
        <v>1590</v>
      </c>
      <c r="D15" s="27" t="s">
        <v>1591</v>
      </c>
      <c r="E15" s="27" t="s">
        <v>1592</v>
      </c>
      <c r="F15" s="25" t="s">
        <v>14</v>
      </c>
      <c r="G15" s="25" t="s">
        <v>14</v>
      </c>
      <c r="H15" s="25" t="s">
        <v>14</v>
      </c>
      <c r="I15" s="27" t="s">
        <v>14</v>
      </c>
    </row>
    <row r="16" ht="18" customHeight="1" spans="1:9" x14ac:dyDescent="0.25">
      <c r="A16" s="22" t="s">
        <v>1593</v>
      </c>
      <c r="B16" s="22"/>
      <c r="C16" s="22"/>
      <c r="D16" s="22"/>
      <c r="E16" s="22"/>
      <c r="F16" s="22"/>
      <c r="G16" s="22"/>
      <c r="H16" s="22"/>
      <c r="I16" s="22"/>
    </row>
    <row r="17" ht="54.4" customHeight="1" spans="1:9" x14ac:dyDescent="0.25">
      <c r="A17" s="23" t="s">
        <v>1594</v>
      </c>
      <c r="B17" s="24" t="s">
        <v>1595</v>
      </c>
      <c r="C17" s="24" t="s">
        <v>1596</v>
      </c>
      <c r="D17" s="24" t="s">
        <v>1597</v>
      </c>
      <c r="E17" s="24" t="s">
        <v>1598</v>
      </c>
      <c r="F17" s="25" t="s">
        <v>14</v>
      </c>
      <c r="G17" s="25" t="s">
        <v>14</v>
      </c>
      <c r="H17" s="25" t="s">
        <v>14</v>
      </c>
      <c r="I17" s="24" t="s">
        <v>14</v>
      </c>
    </row>
    <row r="18" ht="41.8" customHeight="1" spans="1:9" x14ac:dyDescent="0.25">
      <c r="A18" s="26" t="s">
        <v>1599</v>
      </c>
      <c r="B18" s="27" t="s">
        <v>1600</v>
      </c>
      <c r="C18" s="27" t="s">
        <v>1601</v>
      </c>
      <c r="D18" s="27" t="s">
        <v>1602</v>
      </c>
      <c r="E18" s="27" t="s">
        <v>1603</v>
      </c>
      <c r="F18" s="25" t="s">
        <v>14</v>
      </c>
      <c r="G18" s="25" t="s">
        <v>14</v>
      </c>
      <c r="H18" s="25" t="s">
        <v>14</v>
      </c>
      <c r="I18" s="27" t="s">
        <v>14</v>
      </c>
    </row>
    <row r="19" ht="18" customHeight="1" spans="1:9" x14ac:dyDescent="0.25">
      <c r="A19" s="22" t="s">
        <v>1604</v>
      </c>
      <c r="B19" s="22"/>
      <c r="C19" s="22"/>
      <c r="D19" s="22"/>
      <c r="E19" s="22"/>
      <c r="F19" s="22"/>
      <c r="G19" s="22"/>
      <c r="H19" s="22"/>
      <c r="I19" s="22"/>
    </row>
    <row r="20" ht="54.4" customHeight="1" spans="1:9" x14ac:dyDescent="0.25">
      <c r="A20" s="23" t="s">
        <v>1605</v>
      </c>
      <c r="B20" s="24" t="s">
        <v>1606</v>
      </c>
      <c r="C20" s="24" t="s">
        <v>1607</v>
      </c>
      <c r="D20" s="24" t="s">
        <v>1608</v>
      </c>
      <c r="E20" s="24" t="s">
        <v>1609</v>
      </c>
      <c r="F20" s="25" t="s">
        <v>14</v>
      </c>
      <c r="G20" s="25" t="s">
        <v>14</v>
      </c>
      <c r="H20" s="25" t="s">
        <v>14</v>
      </c>
      <c r="I20" s="24" t="s">
        <v>14</v>
      </c>
    </row>
    <row r="21" ht="41.8" customHeight="1" spans="1:9" x14ac:dyDescent="0.25">
      <c r="A21" s="26" t="s">
        <v>1610</v>
      </c>
      <c r="B21" s="27" t="s">
        <v>1611</v>
      </c>
      <c r="C21" s="27" t="s">
        <v>1612</v>
      </c>
      <c r="D21" s="27" t="s">
        <v>1613</v>
      </c>
      <c r="E21" s="27" t="s">
        <v>1614</v>
      </c>
      <c r="F21" s="25" t="s">
        <v>14</v>
      </c>
      <c r="G21" s="25" t="s">
        <v>14</v>
      </c>
      <c r="H21" s="25" t="s">
        <v>14</v>
      </c>
      <c r="I21" s="27" t="s">
        <v>14</v>
      </c>
    </row>
    <row r="22" ht="29.2" customHeight="1" spans="1:9" x14ac:dyDescent="0.25">
      <c r="A22" s="23" t="s">
        <v>1615</v>
      </c>
      <c r="B22" s="24" t="s">
        <v>1616</v>
      </c>
      <c r="C22" s="24" t="s">
        <v>1617</v>
      </c>
      <c r="D22" s="24" t="s">
        <v>1618</v>
      </c>
      <c r="E22" s="24" t="s">
        <v>1619</v>
      </c>
      <c r="F22" s="25" t="s">
        <v>14</v>
      </c>
      <c r="G22" s="25" t="s">
        <v>14</v>
      </c>
      <c r="H22" s="25" t="s">
        <v>14</v>
      </c>
      <c r="I22" s="24" t="s">
        <v>14</v>
      </c>
    </row>
    <row r="23" ht="18" customHeight="1" spans="1:9" x14ac:dyDescent="0.25">
      <c r="A23" s="22" t="s">
        <v>1620</v>
      </c>
      <c r="B23" s="22"/>
      <c r="C23" s="22"/>
      <c r="D23" s="22"/>
      <c r="E23" s="22"/>
      <c r="F23" s="22"/>
      <c r="G23" s="22"/>
      <c r="H23" s="22"/>
      <c r="I23" s="22"/>
    </row>
    <row r="24" ht="54.4" customHeight="1" spans="1:9" x14ac:dyDescent="0.25">
      <c r="A24" s="23" t="s">
        <v>266</v>
      </c>
      <c r="B24" s="24" t="s">
        <v>1621</v>
      </c>
      <c r="C24" s="24" t="s">
        <v>1622</v>
      </c>
      <c r="D24" s="24" t="s">
        <v>1623</v>
      </c>
      <c r="E24" s="24" t="s">
        <v>1624</v>
      </c>
      <c r="F24" s="25" t="s">
        <v>14</v>
      </c>
      <c r="G24" s="25" t="s">
        <v>14</v>
      </c>
      <c r="H24" s="25" t="s">
        <v>14</v>
      </c>
      <c r="I24" s="24" t="s">
        <v>14</v>
      </c>
    </row>
    <row r="25" ht="18" customHeight="1" spans="1:9" x14ac:dyDescent="0.25">
      <c r="A25" s="22" t="s">
        <v>1625</v>
      </c>
      <c r="B25" s="22"/>
      <c r="C25" s="22"/>
      <c r="D25" s="22"/>
      <c r="E25" s="22"/>
      <c r="F25" s="22"/>
      <c r="G25" s="22"/>
      <c r="H25" s="22"/>
      <c r="I25" s="22"/>
    </row>
    <row r="26" ht="54.4" customHeight="1" spans="1:9" x14ac:dyDescent="0.25">
      <c r="A26" s="23" t="s">
        <v>1626</v>
      </c>
      <c r="B26" s="24" t="s">
        <v>1627</v>
      </c>
      <c r="C26" s="24" t="s">
        <v>1628</v>
      </c>
      <c r="D26" s="24" t="s">
        <v>1629</v>
      </c>
      <c r="E26" s="24" t="s">
        <v>1630</v>
      </c>
      <c r="F26" s="25" t="s">
        <v>14</v>
      </c>
      <c r="G26" s="25" t="s">
        <v>14</v>
      </c>
      <c r="H26" s="25" t="s">
        <v>14</v>
      </c>
      <c r="I26" s="24" t="s">
        <v>14</v>
      </c>
    </row>
    <row r="27" ht="41.8" customHeight="1" spans="1:9" x14ac:dyDescent="0.25">
      <c r="A27" s="26" t="s">
        <v>1631</v>
      </c>
      <c r="B27" s="27" t="s">
        <v>1632</v>
      </c>
      <c r="C27" s="27" t="s">
        <v>1633</v>
      </c>
      <c r="D27" s="27" t="s">
        <v>1634</v>
      </c>
      <c r="E27" s="27" t="s">
        <v>1635</v>
      </c>
      <c r="F27" s="25" t="s">
        <v>14</v>
      </c>
      <c r="G27" s="25" t="s">
        <v>14</v>
      </c>
      <c r="H27" s="25" t="s">
        <v>14</v>
      </c>
      <c r="I27" s="27" t="s">
        <v>14</v>
      </c>
    </row>
    <row r="28" ht="18" customHeight="1" spans="1:9" x14ac:dyDescent="0.25">
      <c r="A28" s="22" t="s">
        <v>1636</v>
      </c>
      <c r="B28" s="22"/>
      <c r="C28" s="22"/>
      <c r="D28" s="22"/>
      <c r="E28" s="22"/>
      <c r="F28" s="22"/>
      <c r="G28" s="22"/>
      <c r="H28" s="22"/>
      <c r="I28" s="22"/>
    </row>
    <row r="29" ht="41.8" customHeight="1" spans="1:9" x14ac:dyDescent="0.25">
      <c r="A29" s="23" t="s">
        <v>1637</v>
      </c>
      <c r="B29" s="24" t="s">
        <v>1638</v>
      </c>
      <c r="C29" s="24" t="s">
        <v>1639</v>
      </c>
      <c r="D29" s="24" t="s">
        <v>1640</v>
      </c>
      <c r="E29" s="24" t="s">
        <v>1641</v>
      </c>
      <c r="F29" s="25" t="s">
        <v>14</v>
      </c>
      <c r="G29" s="25" t="s">
        <v>14</v>
      </c>
      <c r="H29" s="25" t="s">
        <v>14</v>
      </c>
      <c r="I29" s="24" t="s">
        <v>14</v>
      </c>
    </row>
    <row r="30" ht="41.8" customHeight="1" spans="1:9" x14ac:dyDescent="0.25">
      <c r="A30" s="26" t="s">
        <v>1642</v>
      </c>
      <c r="B30" s="27" t="s">
        <v>1643</v>
      </c>
      <c r="C30" s="27" t="s">
        <v>1644</v>
      </c>
      <c r="D30" s="27" t="s">
        <v>1645</v>
      </c>
      <c r="E30" s="27" t="s">
        <v>1646</v>
      </c>
      <c r="F30" s="25" t="s">
        <v>14</v>
      </c>
      <c r="G30" s="25" t="s">
        <v>14</v>
      </c>
      <c r="H30" s="25" t="s">
        <v>14</v>
      </c>
      <c r="I30" s="27" t="s">
        <v>14</v>
      </c>
    </row>
  </sheetData>
  <mergeCells count="10">
    <mergeCell ref="A2:I2"/>
    <mergeCell ref="A5:I5"/>
    <mergeCell ref="A8:I8"/>
    <mergeCell ref="A11:I11"/>
    <mergeCell ref="A13:I13"/>
    <mergeCell ref="A16:I16"/>
    <mergeCell ref="A19:I19"/>
    <mergeCell ref="A23:I23"/>
    <mergeCell ref="A25:I25"/>
    <mergeCell ref="A28:I28"/>
  </mergeCells>
  <dataValidations count="11">
    <dataValidation type="list" allowBlank="1" sqref="F10">
      <formula1>"Pass,Fail,N/A"</formula1>
    </dataValidation>
    <dataValidation type="list" allowBlank="1" sqref="F12">
      <formula1>"Pass,Fail,N/A"</formula1>
    </dataValidation>
    <dataValidation type="list" allowBlank="1" sqref="F14:F15">
      <formula1>"Pass,Fail,N/A"</formula1>
    </dataValidation>
    <dataValidation type="list" allowBlank="1" sqref="F17:F18">
      <formula1>"Pass,Fail,N/A"</formula1>
    </dataValidation>
    <dataValidation type="list" allowBlank="1" sqref="F20:F22">
      <formula1>"Pass,Fail,N/A"</formula1>
    </dataValidation>
    <dataValidation type="list" allowBlank="1" sqref="F24">
      <formula1>"Pass,Fail,N/A"</formula1>
    </dataValidation>
    <dataValidation type="list" allowBlank="1" sqref="F26:F27">
      <formula1>"Pass,Fail,N/A"</formula1>
    </dataValidation>
    <dataValidation type="list" allowBlank="1" sqref="F29:F30">
      <formula1>"Pass,Fail,N/A"</formula1>
    </dataValidation>
    <dataValidation type="list" allowBlank="1" sqref="F3:F4">
      <formula1>"Pass,Fail,N/A"</formula1>
    </dataValidation>
    <dataValidation type="list" allowBlank="1" sqref="F6:F7">
      <formula1>"Pass,Fail,N/A"</formula1>
    </dataValidation>
    <dataValidation type="list" allowBlank="1" sqref="F9:F10">
      <formula1>"Pass,Fail,N/A"</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1647</v>
      </c>
      <c r="B2" s="22"/>
      <c r="C2" s="22"/>
      <c r="D2" s="22"/>
      <c r="E2" s="22"/>
      <c r="F2" s="22"/>
      <c r="G2" s="22"/>
      <c r="H2" s="22"/>
      <c r="I2" s="22"/>
    </row>
    <row r="3" ht="54.4" customHeight="1" spans="1:9" x14ac:dyDescent="0.25">
      <c r="A3" s="23" t="s">
        <v>1648</v>
      </c>
      <c r="B3" s="24" t="s">
        <v>1649</v>
      </c>
      <c r="C3" s="24" t="s">
        <v>1650</v>
      </c>
      <c r="D3" s="24" t="s">
        <v>1651</v>
      </c>
      <c r="E3" s="24" t="s">
        <v>1652</v>
      </c>
      <c r="F3" s="25" t="s">
        <v>14</v>
      </c>
      <c r="G3" s="25" t="s">
        <v>14</v>
      </c>
      <c r="H3" s="25" t="s">
        <v>14</v>
      </c>
      <c r="I3" s="24" t="s">
        <v>14</v>
      </c>
    </row>
    <row r="4" ht="41.8" customHeight="1" spans="1:9" x14ac:dyDescent="0.25">
      <c r="A4" s="26" t="s">
        <v>1653</v>
      </c>
      <c r="B4" s="27" t="s">
        <v>1654</v>
      </c>
      <c r="C4" s="27" t="s">
        <v>1655</v>
      </c>
      <c r="D4" s="27" t="s">
        <v>1656</v>
      </c>
      <c r="E4" s="27" t="s">
        <v>1657</v>
      </c>
      <c r="F4" s="25" t="s">
        <v>14</v>
      </c>
      <c r="G4" s="25" t="s">
        <v>14</v>
      </c>
      <c r="H4" s="25" t="s">
        <v>14</v>
      </c>
      <c r="I4" s="27" t="s">
        <v>14</v>
      </c>
    </row>
    <row r="5" ht="41.8" customHeight="1" spans="1:9" x14ac:dyDescent="0.25">
      <c r="A5" s="23" t="s">
        <v>1658</v>
      </c>
      <c r="B5" s="24" t="s">
        <v>1659</v>
      </c>
      <c r="C5" s="24" t="s">
        <v>1660</v>
      </c>
      <c r="D5" s="24" t="s">
        <v>1661</v>
      </c>
      <c r="E5" s="24" t="s">
        <v>1662</v>
      </c>
      <c r="F5" s="25" t="s">
        <v>14</v>
      </c>
      <c r="G5" s="25" t="s">
        <v>14</v>
      </c>
      <c r="H5" s="25" t="s">
        <v>14</v>
      </c>
      <c r="I5" s="24" t="s">
        <v>14</v>
      </c>
    </row>
    <row r="6" ht="41.8" customHeight="1" spans="1:9" x14ac:dyDescent="0.25">
      <c r="A6" s="26" t="s">
        <v>1663</v>
      </c>
      <c r="B6" s="27" t="s">
        <v>1664</v>
      </c>
      <c r="C6" s="27" t="s">
        <v>1665</v>
      </c>
      <c r="D6" s="27" t="s">
        <v>1666</v>
      </c>
      <c r="E6" s="27" t="s">
        <v>1667</v>
      </c>
      <c r="F6" s="25" t="s">
        <v>14</v>
      </c>
      <c r="G6" s="25" t="s">
        <v>14</v>
      </c>
      <c r="H6" s="25" t="s">
        <v>14</v>
      </c>
      <c r="I6" s="27" t="s">
        <v>14</v>
      </c>
    </row>
    <row r="7" ht="18" customHeight="1" spans="1:9" x14ac:dyDescent="0.25">
      <c r="A7" s="22" t="s">
        <v>1668</v>
      </c>
      <c r="B7" s="22"/>
      <c r="C7" s="22"/>
      <c r="D7" s="22"/>
      <c r="E7" s="22"/>
      <c r="F7" s="22"/>
      <c r="G7" s="22"/>
      <c r="H7" s="22"/>
      <c r="I7" s="22"/>
    </row>
    <row r="8" ht="54.4" customHeight="1" spans="1:9" x14ac:dyDescent="0.25">
      <c r="A8" s="23" t="s">
        <v>1669</v>
      </c>
      <c r="B8" s="24" t="s">
        <v>1670</v>
      </c>
      <c r="C8" s="24" t="s">
        <v>1569</v>
      </c>
      <c r="D8" s="24" t="s">
        <v>1671</v>
      </c>
      <c r="E8" s="24" t="s">
        <v>1672</v>
      </c>
      <c r="F8" s="25" t="s">
        <v>14</v>
      </c>
      <c r="G8" s="25" t="s">
        <v>14</v>
      </c>
      <c r="H8" s="25" t="s">
        <v>14</v>
      </c>
      <c r="I8" s="24" t="s">
        <v>14</v>
      </c>
    </row>
    <row r="9" ht="67" customHeight="1" spans="1:9" x14ac:dyDescent="0.25">
      <c r="A9" s="26" t="s">
        <v>1673</v>
      </c>
      <c r="B9" s="27" t="s">
        <v>1674</v>
      </c>
      <c r="C9" s="27" t="s">
        <v>1675</v>
      </c>
      <c r="D9" s="27" t="s">
        <v>1676</v>
      </c>
      <c r="E9" s="27" t="s">
        <v>1677</v>
      </c>
      <c r="F9" s="25" t="s">
        <v>14</v>
      </c>
      <c r="G9" s="25" t="s">
        <v>14</v>
      </c>
      <c r="H9" s="25" t="s">
        <v>14</v>
      </c>
      <c r="I9" s="27" t="s">
        <v>14</v>
      </c>
    </row>
    <row r="10" ht="29.2" customHeight="1" spans="1:9" x14ac:dyDescent="0.25">
      <c r="A10" s="23" t="s">
        <v>1678</v>
      </c>
      <c r="B10" s="24" t="s">
        <v>1679</v>
      </c>
      <c r="C10" s="24" t="s">
        <v>1680</v>
      </c>
      <c r="D10" s="24" t="s">
        <v>1681</v>
      </c>
      <c r="E10" s="24" t="s">
        <v>1682</v>
      </c>
      <c r="F10" s="25" t="s">
        <v>14</v>
      </c>
      <c r="G10" s="25" t="s">
        <v>14</v>
      </c>
      <c r="H10" s="25" t="s">
        <v>14</v>
      </c>
      <c r="I10" s="24" t="s">
        <v>14</v>
      </c>
    </row>
    <row r="11" ht="18" customHeight="1" spans="1:9" x14ac:dyDescent="0.25">
      <c r="A11" s="22" t="s">
        <v>1683</v>
      </c>
      <c r="B11" s="22"/>
      <c r="C11" s="22"/>
      <c r="D11" s="22"/>
      <c r="E11" s="22"/>
      <c r="F11" s="22"/>
      <c r="G11" s="22"/>
      <c r="H11" s="22"/>
      <c r="I11" s="22"/>
    </row>
    <row r="12" ht="54.4" customHeight="1" spans="1:9" x14ac:dyDescent="0.25">
      <c r="A12" s="23" t="s">
        <v>1684</v>
      </c>
      <c r="B12" s="24" t="s">
        <v>1685</v>
      </c>
      <c r="C12" s="24" t="s">
        <v>1686</v>
      </c>
      <c r="D12" s="24" t="s">
        <v>1687</v>
      </c>
      <c r="E12" s="24" t="s">
        <v>1688</v>
      </c>
      <c r="F12" s="25" t="s">
        <v>14</v>
      </c>
      <c r="G12" s="25" t="s">
        <v>14</v>
      </c>
      <c r="H12" s="25" t="s">
        <v>14</v>
      </c>
      <c r="I12" s="24" t="s">
        <v>14</v>
      </c>
    </row>
    <row r="13" ht="41.8" customHeight="1" spans="1:9" x14ac:dyDescent="0.25">
      <c r="A13" s="26" t="s">
        <v>1689</v>
      </c>
      <c r="B13" s="27" t="s">
        <v>1690</v>
      </c>
      <c r="C13" s="27" t="s">
        <v>1650</v>
      </c>
      <c r="D13" s="27" t="s">
        <v>1691</v>
      </c>
      <c r="E13" s="27" t="s">
        <v>1692</v>
      </c>
      <c r="F13" s="25" t="s">
        <v>14</v>
      </c>
      <c r="G13" s="25" t="s">
        <v>14</v>
      </c>
      <c r="H13" s="25" t="s">
        <v>14</v>
      </c>
      <c r="I13" s="27" t="s">
        <v>14</v>
      </c>
    </row>
    <row r="14" ht="18" customHeight="1" spans="1:9" x14ac:dyDescent="0.25">
      <c r="A14" s="22" t="s">
        <v>1693</v>
      </c>
      <c r="B14" s="22"/>
      <c r="C14" s="22"/>
      <c r="D14" s="22"/>
      <c r="E14" s="22"/>
      <c r="F14" s="22"/>
      <c r="G14" s="22"/>
      <c r="H14" s="22"/>
      <c r="I14" s="22"/>
    </row>
    <row r="15" ht="41.8" customHeight="1" spans="1:9" x14ac:dyDescent="0.25">
      <c r="A15" s="23" t="s">
        <v>1694</v>
      </c>
      <c r="B15" s="24" t="s">
        <v>1695</v>
      </c>
      <c r="C15" s="24" t="s">
        <v>1696</v>
      </c>
      <c r="D15" s="24" t="s">
        <v>1697</v>
      </c>
      <c r="E15" s="24" t="s">
        <v>1698</v>
      </c>
      <c r="F15" s="25" t="s">
        <v>14</v>
      </c>
      <c r="G15" s="25" t="s">
        <v>14</v>
      </c>
      <c r="H15" s="25" t="s">
        <v>14</v>
      </c>
      <c r="I15" s="24" t="s">
        <v>14</v>
      </c>
    </row>
    <row r="16" ht="54.4" customHeight="1" spans="1:9" x14ac:dyDescent="0.25">
      <c r="A16" s="26" t="s">
        <v>1699</v>
      </c>
      <c r="B16" s="27" t="s">
        <v>1700</v>
      </c>
      <c r="C16" s="27" t="s">
        <v>1701</v>
      </c>
      <c r="D16" s="27" t="s">
        <v>1702</v>
      </c>
      <c r="E16" s="27" t="s">
        <v>1703</v>
      </c>
      <c r="F16" s="25" t="s">
        <v>14</v>
      </c>
      <c r="G16" s="25" t="s">
        <v>14</v>
      </c>
      <c r="H16" s="25" t="s">
        <v>14</v>
      </c>
      <c r="I16" s="27" t="s">
        <v>14</v>
      </c>
    </row>
    <row r="17" ht="18" customHeight="1" spans="1:9" x14ac:dyDescent="0.25">
      <c r="A17" s="22" t="s">
        <v>1704</v>
      </c>
      <c r="B17" s="22"/>
      <c r="C17" s="22"/>
      <c r="D17" s="22"/>
      <c r="E17" s="22"/>
      <c r="F17" s="22"/>
      <c r="G17" s="22"/>
      <c r="H17" s="22"/>
      <c r="I17" s="22"/>
    </row>
    <row r="18" ht="41.8" customHeight="1" spans="1:9" x14ac:dyDescent="0.25">
      <c r="A18" s="23" t="s">
        <v>1705</v>
      </c>
      <c r="B18" s="24" t="s">
        <v>1706</v>
      </c>
      <c r="C18" s="24" t="s">
        <v>1707</v>
      </c>
      <c r="D18" s="24" t="s">
        <v>1708</v>
      </c>
      <c r="E18" s="24" t="s">
        <v>1709</v>
      </c>
      <c r="F18" s="25" t="s">
        <v>14</v>
      </c>
      <c r="G18" s="25" t="s">
        <v>14</v>
      </c>
      <c r="H18" s="25" t="s">
        <v>14</v>
      </c>
      <c r="I18" s="24" t="s">
        <v>14</v>
      </c>
    </row>
    <row r="19" ht="29.2" customHeight="1" spans="1:9" x14ac:dyDescent="0.25">
      <c r="A19" s="26" t="s">
        <v>1710</v>
      </c>
      <c r="B19" s="27" t="s">
        <v>1711</v>
      </c>
      <c r="C19" s="27" t="s">
        <v>1712</v>
      </c>
      <c r="D19" s="27" t="s">
        <v>1713</v>
      </c>
      <c r="E19" s="27" t="s">
        <v>1714</v>
      </c>
      <c r="F19" s="25" t="s">
        <v>14</v>
      </c>
      <c r="G19" s="25" t="s">
        <v>14</v>
      </c>
      <c r="H19" s="25" t="s">
        <v>14</v>
      </c>
      <c r="I19" s="27" t="s">
        <v>14</v>
      </c>
    </row>
    <row r="20" ht="41.8" customHeight="1" spans="1:9" x14ac:dyDescent="0.25">
      <c r="A20" s="23" t="s">
        <v>1715</v>
      </c>
      <c r="B20" s="24" t="s">
        <v>1716</v>
      </c>
      <c r="C20" s="24" t="s">
        <v>1717</v>
      </c>
      <c r="D20" s="24" t="s">
        <v>1718</v>
      </c>
      <c r="E20" s="24" t="s">
        <v>1719</v>
      </c>
      <c r="F20" s="25" t="s">
        <v>14</v>
      </c>
      <c r="G20" s="25" t="s">
        <v>14</v>
      </c>
      <c r="H20" s="25" t="s">
        <v>14</v>
      </c>
      <c r="I20" s="24" t="s">
        <v>14</v>
      </c>
    </row>
    <row r="21" ht="18" customHeight="1" spans="1:9" x14ac:dyDescent="0.25">
      <c r="A21" s="22" t="s">
        <v>1720</v>
      </c>
      <c r="B21" s="22"/>
      <c r="C21" s="22"/>
      <c r="D21" s="22"/>
      <c r="E21" s="22"/>
      <c r="F21" s="22"/>
      <c r="G21" s="22"/>
      <c r="H21" s="22"/>
      <c r="I21" s="22"/>
    </row>
    <row r="22" ht="41.8" customHeight="1" spans="1:9" x14ac:dyDescent="0.25">
      <c r="A22" s="23" t="s">
        <v>159</v>
      </c>
      <c r="B22" s="24" t="s">
        <v>1721</v>
      </c>
      <c r="C22" s="24" t="s">
        <v>1722</v>
      </c>
      <c r="D22" s="24" t="s">
        <v>1723</v>
      </c>
      <c r="E22" s="24" t="s">
        <v>1724</v>
      </c>
      <c r="F22" s="25" t="s">
        <v>14</v>
      </c>
      <c r="G22" s="25" t="s">
        <v>14</v>
      </c>
      <c r="H22" s="25" t="s">
        <v>14</v>
      </c>
      <c r="I22" s="24" t="s">
        <v>1725</v>
      </c>
    </row>
    <row r="23" ht="18" customHeight="1" spans="1:9" x14ac:dyDescent="0.25">
      <c r="A23" s="22" t="s">
        <v>1726</v>
      </c>
      <c r="B23" s="22"/>
      <c r="C23" s="22"/>
      <c r="D23" s="22"/>
      <c r="E23" s="22"/>
      <c r="F23" s="22"/>
      <c r="G23" s="22"/>
      <c r="H23" s="22"/>
      <c r="I23" s="22"/>
    </row>
    <row r="24" ht="15" customHeight="1" spans="1:9" x14ac:dyDescent="0.25">
      <c r="A24" s="28" t="s">
        <v>1005</v>
      </c>
      <c r="B24" s="28"/>
      <c r="C24" s="28"/>
      <c r="D24" s="28"/>
      <c r="E24" s="28"/>
      <c r="F24" s="28"/>
      <c r="G24" s="28"/>
      <c r="H24" s="28"/>
      <c r="I24" s="28"/>
    </row>
    <row r="25" ht="18" customHeight="1" spans="1:9" x14ac:dyDescent="0.25">
      <c r="A25" s="29" t="s">
        <v>1166</v>
      </c>
      <c r="B25" s="29"/>
      <c r="C25" s="29"/>
      <c r="D25" s="29"/>
      <c r="E25" s="29"/>
      <c r="F25" s="29"/>
      <c r="G25" s="29"/>
      <c r="H25" s="29"/>
      <c r="I25" s="29"/>
    </row>
    <row r="26" ht="54.4" customHeight="1" spans="1:9" x14ac:dyDescent="0.25">
      <c r="A26" s="23" t="s">
        <v>1727</v>
      </c>
      <c r="B26" s="24" t="s">
        <v>1728</v>
      </c>
      <c r="C26" s="24" t="s">
        <v>1729</v>
      </c>
      <c r="D26" s="24" t="s">
        <v>1730</v>
      </c>
      <c r="E26" s="24" t="s">
        <v>1731</v>
      </c>
      <c r="F26" s="25" t="s">
        <v>14</v>
      </c>
      <c r="G26" s="25" t="s">
        <v>14</v>
      </c>
      <c r="H26" s="25" t="s">
        <v>14</v>
      </c>
      <c r="I26" s="24" t="s">
        <v>1732</v>
      </c>
    </row>
  </sheetData>
  <mergeCells count="9">
    <mergeCell ref="A2:I2"/>
    <mergeCell ref="A7:I7"/>
    <mergeCell ref="A11:I11"/>
    <mergeCell ref="A14:I14"/>
    <mergeCell ref="A17:I17"/>
    <mergeCell ref="A21:I21"/>
    <mergeCell ref="A23:I23"/>
    <mergeCell ref="A24:I24"/>
    <mergeCell ref="A25:I25"/>
  </mergeCells>
  <dataValidations count="8">
    <dataValidation type="list" allowBlank="1" sqref="F10">
      <formula1>"Pass,Fail,N/A"</formula1>
    </dataValidation>
    <dataValidation type="list" allowBlank="1" sqref="F12:F13">
      <formula1>"Pass,Fail,N/A"</formula1>
    </dataValidation>
    <dataValidation type="list" allowBlank="1" sqref="F15:F16">
      <formula1>"Pass,Fail,N/A"</formula1>
    </dataValidation>
    <dataValidation type="list" allowBlank="1" sqref="F18:F20">
      <formula1>"Pass,Fail,N/A"</formula1>
    </dataValidation>
    <dataValidation type="list" allowBlank="1" sqref="F22">
      <formula1>"Pass,Fail,N/A"</formula1>
    </dataValidation>
    <dataValidation type="list" allowBlank="1" sqref="F26">
      <formula1>"Pass,Fail,N/A"</formula1>
    </dataValidation>
    <dataValidation type="list" allowBlank="1" sqref="F3:F6">
      <formula1>"Pass,Fail,N/A"</formula1>
    </dataValidation>
    <dataValidation type="list" allowBlank="1" sqref="F8:F10">
      <formula1>"Pass,Fail,N/A"</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1733</v>
      </c>
      <c r="B2" s="22"/>
      <c r="C2" s="22"/>
      <c r="D2" s="22"/>
      <c r="E2" s="22"/>
      <c r="F2" s="22"/>
      <c r="G2" s="22"/>
      <c r="H2" s="22"/>
      <c r="I2" s="22"/>
    </row>
    <row r="3" ht="41.8" customHeight="1" spans="1:9" x14ac:dyDescent="0.25">
      <c r="A3" s="23" t="s">
        <v>288</v>
      </c>
      <c r="B3" s="24" t="s">
        <v>1734</v>
      </c>
      <c r="C3" s="24" t="s">
        <v>1735</v>
      </c>
      <c r="D3" s="24" t="s">
        <v>1736</v>
      </c>
      <c r="E3" s="24" t="s">
        <v>1737</v>
      </c>
      <c r="F3" s="25" t="s">
        <v>14</v>
      </c>
      <c r="G3" s="25" t="s">
        <v>14</v>
      </c>
      <c r="H3" s="25" t="s">
        <v>14</v>
      </c>
      <c r="I3" s="24" t="s">
        <v>14</v>
      </c>
    </row>
    <row r="4" ht="18" customHeight="1" spans="1:9" x14ac:dyDescent="0.25">
      <c r="A4" s="22" t="s">
        <v>1738</v>
      </c>
      <c r="B4" s="22"/>
      <c r="C4" s="22"/>
      <c r="D4" s="22"/>
      <c r="E4" s="22"/>
      <c r="F4" s="22"/>
      <c r="G4" s="22"/>
      <c r="H4" s="22"/>
      <c r="I4" s="22"/>
    </row>
    <row r="5" ht="54.4" customHeight="1" spans="1:9" x14ac:dyDescent="0.25">
      <c r="A5" s="23" t="s">
        <v>291</v>
      </c>
      <c r="B5" s="24" t="s">
        <v>1739</v>
      </c>
      <c r="C5" s="24" t="s">
        <v>1740</v>
      </c>
      <c r="D5" s="24" t="s">
        <v>1741</v>
      </c>
      <c r="E5" s="24" t="s">
        <v>1742</v>
      </c>
      <c r="F5" s="25" t="s">
        <v>14</v>
      </c>
      <c r="G5" s="25" t="s">
        <v>14</v>
      </c>
      <c r="H5" s="25" t="s">
        <v>14</v>
      </c>
      <c r="I5" s="24" t="s">
        <v>14</v>
      </c>
    </row>
    <row r="6" ht="18" customHeight="1" spans="1:9" x14ac:dyDescent="0.25">
      <c r="A6" s="22" t="s">
        <v>1743</v>
      </c>
      <c r="B6" s="22"/>
      <c r="C6" s="22"/>
      <c r="D6" s="22"/>
      <c r="E6" s="22"/>
      <c r="F6" s="22"/>
      <c r="G6" s="22"/>
      <c r="H6" s="22"/>
      <c r="I6" s="22"/>
    </row>
    <row r="7" ht="41.8" customHeight="1" spans="1:9" x14ac:dyDescent="0.25">
      <c r="A7" s="23" t="s">
        <v>298</v>
      </c>
      <c r="B7" s="24" t="s">
        <v>1744</v>
      </c>
      <c r="C7" s="24" t="s">
        <v>1745</v>
      </c>
      <c r="D7" s="24" t="s">
        <v>1746</v>
      </c>
      <c r="E7" s="24" t="s">
        <v>1747</v>
      </c>
      <c r="F7" s="25" t="s">
        <v>14</v>
      </c>
      <c r="G7" s="25" t="s">
        <v>14</v>
      </c>
      <c r="H7" s="25" t="s">
        <v>14</v>
      </c>
      <c r="I7" s="24" t="s">
        <v>14</v>
      </c>
    </row>
    <row r="8" ht="18" customHeight="1" spans="1:9" x14ac:dyDescent="0.25">
      <c r="A8" s="22" t="s">
        <v>1748</v>
      </c>
      <c r="B8" s="22"/>
      <c r="C8" s="22"/>
      <c r="D8" s="22"/>
      <c r="E8" s="22"/>
      <c r="F8" s="22"/>
      <c r="G8" s="22"/>
      <c r="H8" s="22"/>
      <c r="I8" s="22"/>
    </row>
    <row r="9" ht="29.2" customHeight="1" spans="1:9" x14ac:dyDescent="0.25">
      <c r="A9" s="23" t="s">
        <v>301</v>
      </c>
      <c r="B9" s="24" t="s">
        <v>1734</v>
      </c>
      <c r="C9" s="24" t="s">
        <v>1749</v>
      </c>
      <c r="D9" s="24" t="s">
        <v>1750</v>
      </c>
      <c r="E9" s="24" t="s">
        <v>1751</v>
      </c>
      <c r="F9" s="25" t="s">
        <v>14</v>
      </c>
      <c r="G9" s="25" t="s">
        <v>14</v>
      </c>
      <c r="H9" s="25" t="s">
        <v>14</v>
      </c>
      <c r="I9" s="24" t="s">
        <v>14</v>
      </c>
    </row>
    <row r="10" ht="18" customHeight="1" spans="1:9" x14ac:dyDescent="0.25">
      <c r="A10" s="22" t="s">
        <v>1752</v>
      </c>
      <c r="B10" s="22"/>
      <c r="C10" s="22"/>
      <c r="D10" s="22"/>
      <c r="E10" s="22"/>
      <c r="F10" s="22"/>
      <c r="G10" s="22"/>
      <c r="H10" s="22"/>
      <c r="I10" s="22"/>
    </row>
    <row r="11" ht="54.4" customHeight="1" spans="1:9" x14ac:dyDescent="0.25">
      <c r="A11" s="23" t="s">
        <v>304</v>
      </c>
      <c r="B11" s="24" t="s">
        <v>1753</v>
      </c>
      <c r="C11" s="24" t="s">
        <v>1754</v>
      </c>
      <c r="D11" s="24" t="s">
        <v>1755</v>
      </c>
      <c r="E11" s="24" t="s">
        <v>1756</v>
      </c>
      <c r="F11" s="25" t="s">
        <v>14</v>
      </c>
      <c r="G11" s="25" t="s">
        <v>14</v>
      </c>
      <c r="H11" s="25" t="s">
        <v>14</v>
      </c>
      <c r="I11" s="24" t="s">
        <v>14</v>
      </c>
    </row>
    <row r="12" ht="18" customHeight="1" spans="1:9" x14ac:dyDescent="0.25">
      <c r="A12" s="22" t="s">
        <v>1757</v>
      </c>
      <c r="B12" s="22"/>
      <c r="C12" s="22"/>
      <c r="D12" s="22"/>
      <c r="E12" s="22"/>
      <c r="F12" s="22"/>
      <c r="G12" s="22"/>
      <c r="H12" s="22"/>
      <c r="I12" s="22"/>
    </row>
    <row r="13" ht="41.8" customHeight="1" spans="1:9" x14ac:dyDescent="0.25">
      <c r="A13" s="23" t="s">
        <v>1758</v>
      </c>
      <c r="B13" s="24" t="s">
        <v>1759</v>
      </c>
      <c r="C13" s="24" t="s">
        <v>1760</v>
      </c>
      <c r="D13" s="24" t="s">
        <v>1761</v>
      </c>
      <c r="E13" s="24" t="s">
        <v>1762</v>
      </c>
      <c r="F13" s="25" t="s">
        <v>14</v>
      </c>
      <c r="G13" s="25" t="s">
        <v>14</v>
      </c>
      <c r="H13" s="25" t="s">
        <v>14</v>
      </c>
      <c r="I13" s="24" t="s">
        <v>14</v>
      </c>
    </row>
    <row r="14" ht="41.8" customHeight="1" spans="1:9" x14ac:dyDescent="0.25">
      <c r="A14" s="26" t="s">
        <v>1763</v>
      </c>
      <c r="B14" s="27" t="s">
        <v>1764</v>
      </c>
      <c r="C14" s="27" t="s">
        <v>1765</v>
      </c>
      <c r="D14" s="27" t="s">
        <v>1766</v>
      </c>
      <c r="E14" s="27" t="s">
        <v>1767</v>
      </c>
      <c r="F14" s="25" t="s">
        <v>14</v>
      </c>
      <c r="G14" s="25" t="s">
        <v>14</v>
      </c>
      <c r="H14" s="25" t="s">
        <v>14</v>
      </c>
      <c r="I14" s="27" t="s">
        <v>1768</v>
      </c>
    </row>
    <row r="15" ht="18" customHeight="1" spans="1:9" x14ac:dyDescent="0.25">
      <c r="A15" s="22" t="s">
        <v>1769</v>
      </c>
      <c r="B15" s="22"/>
      <c r="C15" s="22"/>
      <c r="D15" s="22"/>
      <c r="E15" s="22"/>
      <c r="F15" s="22"/>
      <c r="G15" s="22"/>
      <c r="H15" s="22"/>
      <c r="I15" s="22"/>
    </row>
    <row r="16" ht="29.2" customHeight="1" spans="1:9" x14ac:dyDescent="0.25">
      <c r="A16" s="23" t="s">
        <v>310</v>
      </c>
      <c r="B16" s="24" t="s">
        <v>1770</v>
      </c>
      <c r="C16" s="24" t="s">
        <v>1771</v>
      </c>
      <c r="D16" s="24" t="s">
        <v>1772</v>
      </c>
      <c r="E16" s="24" t="s">
        <v>1773</v>
      </c>
      <c r="F16" s="25" t="s">
        <v>14</v>
      </c>
      <c r="G16" s="25" t="s">
        <v>14</v>
      </c>
      <c r="H16" s="25" t="s">
        <v>14</v>
      </c>
      <c r="I16" s="24" t="s">
        <v>14</v>
      </c>
    </row>
    <row r="17" ht="18" customHeight="1" spans="1:9" x14ac:dyDescent="0.25">
      <c r="A17" s="22" t="s">
        <v>1774</v>
      </c>
      <c r="B17" s="22"/>
      <c r="C17" s="22"/>
      <c r="D17" s="22"/>
      <c r="E17" s="22"/>
      <c r="F17" s="22"/>
      <c r="G17" s="22"/>
      <c r="H17" s="22"/>
      <c r="I17" s="22"/>
    </row>
    <row r="18" ht="41.8" customHeight="1" spans="1:9" x14ac:dyDescent="0.25">
      <c r="A18" s="23" t="s">
        <v>1775</v>
      </c>
      <c r="B18" s="24" t="s">
        <v>1776</v>
      </c>
      <c r="C18" s="24" t="s">
        <v>1777</v>
      </c>
      <c r="D18" s="24" t="s">
        <v>1778</v>
      </c>
      <c r="E18" s="24" t="s">
        <v>1779</v>
      </c>
      <c r="F18" s="25" t="s">
        <v>14</v>
      </c>
      <c r="G18" s="25" t="s">
        <v>14</v>
      </c>
      <c r="H18" s="25" t="s">
        <v>14</v>
      </c>
      <c r="I18" s="24" t="s">
        <v>14</v>
      </c>
    </row>
    <row r="19" ht="41.8" customHeight="1" spans="1:9" x14ac:dyDescent="0.25">
      <c r="A19" s="26" t="s">
        <v>1780</v>
      </c>
      <c r="B19" s="27" t="s">
        <v>1776</v>
      </c>
      <c r="C19" s="27" t="s">
        <v>1781</v>
      </c>
      <c r="D19" s="27" t="s">
        <v>1782</v>
      </c>
      <c r="E19" s="27" t="s">
        <v>1783</v>
      </c>
      <c r="F19" s="25" t="s">
        <v>14</v>
      </c>
      <c r="G19" s="25" t="s">
        <v>14</v>
      </c>
      <c r="H19" s="25" t="s">
        <v>14</v>
      </c>
      <c r="I19" s="27" t="s">
        <v>14</v>
      </c>
    </row>
    <row r="20" ht="18" customHeight="1" spans="1:9" x14ac:dyDescent="0.25">
      <c r="A20" s="22" t="s">
        <v>1784</v>
      </c>
      <c r="B20" s="22"/>
      <c r="C20" s="22"/>
      <c r="D20" s="22"/>
      <c r="E20" s="22"/>
      <c r="F20" s="22"/>
      <c r="G20" s="22"/>
      <c r="H20" s="22"/>
      <c r="I20" s="22"/>
    </row>
    <row r="21" ht="54.4" customHeight="1" spans="1:9" x14ac:dyDescent="0.25">
      <c r="A21" s="23" t="s">
        <v>425</v>
      </c>
      <c r="B21" s="24" t="s">
        <v>1785</v>
      </c>
      <c r="C21" s="24" t="s">
        <v>1786</v>
      </c>
      <c r="D21" s="24" t="s">
        <v>1787</v>
      </c>
      <c r="E21" s="24" t="s">
        <v>1788</v>
      </c>
      <c r="F21" s="25" t="s">
        <v>14</v>
      </c>
      <c r="G21" s="25" t="s">
        <v>14</v>
      </c>
      <c r="H21" s="25" t="s">
        <v>14</v>
      </c>
      <c r="I21" s="24" t="s">
        <v>14</v>
      </c>
    </row>
    <row r="22" ht="18" customHeight="1" spans="1:9" x14ac:dyDescent="0.25">
      <c r="A22" s="22" t="s">
        <v>1789</v>
      </c>
      <c r="B22" s="22"/>
      <c r="C22" s="22"/>
      <c r="D22" s="22"/>
      <c r="E22" s="22"/>
      <c r="F22" s="22"/>
      <c r="G22" s="22"/>
      <c r="H22" s="22"/>
      <c r="I22" s="22"/>
    </row>
    <row r="23" ht="54.4" customHeight="1" spans="1:9" x14ac:dyDescent="0.25">
      <c r="A23" s="23" t="s">
        <v>1790</v>
      </c>
      <c r="B23" s="24" t="s">
        <v>1791</v>
      </c>
      <c r="C23" s="24" t="s">
        <v>1792</v>
      </c>
      <c r="D23" s="24" t="s">
        <v>1793</v>
      </c>
      <c r="E23" s="24" t="s">
        <v>1794</v>
      </c>
      <c r="F23" s="25" t="s">
        <v>14</v>
      </c>
      <c r="G23" s="25" t="s">
        <v>14</v>
      </c>
      <c r="H23" s="25" t="s">
        <v>14</v>
      </c>
      <c r="I23" s="24" t="s">
        <v>14</v>
      </c>
    </row>
    <row r="24" ht="41.8" customHeight="1" spans="1:9" x14ac:dyDescent="0.25">
      <c r="A24" s="26" t="s">
        <v>1795</v>
      </c>
      <c r="B24" s="27" t="s">
        <v>1796</v>
      </c>
      <c r="C24" s="27" t="s">
        <v>1797</v>
      </c>
      <c r="D24" s="27" t="s">
        <v>1798</v>
      </c>
      <c r="E24" s="27" t="s">
        <v>1799</v>
      </c>
      <c r="F24" s="25" t="s">
        <v>14</v>
      </c>
      <c r="G24" s="25" t="s">
        <v>14</v>
      </c>
      <c r="H24" s="25" t="s">
        <v>14</v>
      </c>
      <c r="I24" s="27" t="s">
        <v>14</v>
      </c>
    </row>
    <row r="25" ht="18" customHeight="1" spans="1:9" x14ac:dyDescent="0.25">
      <c r="A25" s="22" t="s">
        <v>1800</v>
      </c>
      <c r="B25" s="22"/>
      <c r="C25" s="22"/>
      <c r="D25" s="22"/>
      <c r="E25" s="22"/>
      <c r="F25" s="22"/>
      <c r="G25" s="22"/>
      <c r="H25" s="22"/>
      <c r="I25" s="22"/>
    </row>
    <row r="26" ht="41.8" customHeight="1" spans="1:9" x14ac:dyDescent="0.25">
      <c r="A26" s="23" t="s">
        <v>474</v>
      </c>
      <c r="B26" s="24" t="s">
        <v>1801</v>
      </c>
      <c r="C26" s="24" t="s">
        <v>1802</v>
      </c>
      <c r="D26" s="24" t="s">
        <v>1803</v>
      </c>
      <c r="E26" s="24" t="s">
        <v>1804</v>
      </c>
      <c r="F26" s="25" t="s">
        <v>14</v>
      </c>
      <c r="G26" s="25" t="s">
        <v>14</v>
      </c>
      <c r="H26" s="25" t="s">
        <v>14</v>
      </c>
      <c r="I26" s="24" t="s">
        <v>14</v>
      </c>
    </row>
    <row r="27" ht="18" customHeight="1" spans="1:9" x14ac:dyDescent="0.25">
      <c r="A27" s="22" t="s">
        <v>1805</v>
      </c>
      <c r="B27" s="22"/>
      <c r="C27" s="22"/>
      <c r="D27" s="22"/>
      <c r="E27" s="22"/>
      <c r="F27" s="22"/>
      <c r="G27" s="22"/>
      <c r="H27" s="22"/>
      <c r="I27" s="22"/>
    </row>
    <row r="28" ht="54.4" customHeight="1" spans="1:9" x14ac:dyDescent="0.25">
      <c r="A28" s="23" t="s">
        <v>477</v>
      </c>
      <c r="B28" s="24" t="s">
        <v>1806</v>
      </c>
      <c r="C28" s="24" t="s">
        <v>1807</v>
      </c>
      <c r="D28" s="24" t="s">
        <v>1808</v>
      </c>
      <c r="E28" s="24" t="s">
        <v>1809</v>
      </c>
      <c r="F28" s="25" t="s">
        <v>14</v>
      </c>
      <c r="G28" s="25" t="s">
        <v>14</v>
      </c>
      <c r="H28" s="25" t="s">
        <v>14</v>
      </c>
      <c r="I28" s="24" t="s">
        <v>14</v>
      </c>
    </row>
    <row r="29" ht="18" customHeight="1" spans="1:9" x14ac:dyDescent="0.25">
      <c r="A29" s="22" t="s">
        <v>1810</v>
      </c>
      <c r="B29" s="22"/>
      <c r="C29" s="22"/>
      <c r="D29" s="22"/>
      <c r="E29" s="22"/>
      <c r="F29" s="22"/>
      <c r="G29" s="22"/>
      <c r="H29" s="22"/>
      <c r="I29" s="22"/>
    </row>
    <row r="30" ht="54.4" customHeight="1" spans="1:9" x14ac:dyDescent="0.25">
      <c r="A30" s="23" t="s">
        <v>481</v>
      </c>
      <c r="B30" s="24" t="s">
        <v>1811</v>
      </c>
      <c r="C30" s="24" t="s">
        <v>1812</v>
      </c>
      <c r="D30" s="24" t="s">
        <v>1813</v>
      </c>
      <c r="E30" s="24" t="s">
        <v>1814</v>
      </c>
      <c r="F30" s="25" t="s">
        <v>14</v>
      </c>
      <c r="G30" s="25" t="s">
        <v>14</v>
      </c>
      <c r="H30" s="25" t="s">
        <v>14</v>
      </c>
      <c r="I30" s="24" t="s">
        <v>14</v>
      </c>
    </row>
    <row r="31" ht="18" customHeight="1" spans="1:9" x14ac:dyDescent="0.25">
      <c r="A31" s="22" t="s">
        <v>1815</v>
      </c>
      <c r="B31" s="22"/>
      <c r="C31" s="22"/>
      <c r="D31" s="22"/>
      <c r="E31" s="22"/>
      <c r="F31" s="22"/>
      <c r="G31" s="22"/>
      <c r="H31" s="22"/>
      <c r="I31" s="22"/>
    </row>
    <row r="32" ht="41.8" customHeight="1" spans="1:9" x14ac:dyDescent="0.25">
      <c r="A32" s="23" t="s">
        <v>484</v>
      </c>
      <c r="B32" s="24" t="s">
        <v>1816</v>
      </c>
      <c r="C32" s="24" t="s">
        <v>1817</v>
      </c>
      <c r="D32" s="24" t="s">
        <v>1818</v>
      </c>
      <c r="E32" s="24" t="s">
        <v>1819</v>
      </c>
      <c r="F32" s="25" t="s">
        <v>14</v>
      </c>
      <c r="G32" s="25" t="s">
        <v>14</v>
      </c>
      <c r="H32" s="25" t="s">
        <v>14</v>
      </c>
      <c r="I32" s="24" t="s">
        <v>14</v>
      </c>
    </row>
    <row r="33" ht="18" customHeight="1" spans="1:9" x14ac:dyDescent="0.25">
      <c r="A33" s="22" t="s">
        <v>1820</v>
      </c>
      <c r="B33" s="22"/>
      <c r="C33" s="22"/>
      <c r="D33" s="22"/>
      <c r="E33" s="22"/>
      <c r="F33" s="22"/>
      <c r="G33" s="22"/>
      <c r="H33" s="22"/>
      <c r="I33" s="22"/>
    </row>
    <row r="34" ht="41.8" customHeight="1" spans="1:9" x14ac:dyDescent="0.25">
      <c r="A34" s="23" t="s">
        <v>487</v>
      </c>
      <c r="B34" s="24" t="s">
        <v>1821</v>
      </c>
      <c r="C34" s="24" t="s">
        <v>1797</v>
      </c>
      <c r="D34" s="24" t="s">
        <v>1822</v>
      </c>
      <c r="E34" s="24" t="s">
        <v>1823</v>
      </c>
      <c r="F34" s="25" t="s">
        <v>14</v>
      </c>
      <c r="G34" s="25" t="s">
        <v>14</v>
      </c>
      <c r="H34" s="25" t="s">
        <v>14</v>
      </c>
      <c r="I34" s="24" t="s">
        <v>14</v>
      </c>
    </row>
    <row r="35" ht="18" customHeight="1" spans="1:9" x14ac:dyDescent="0.25">
      <c r="A35" s="29" t="s">
        <v>1166</v>
      </c>
      <c r="B35" s="29"/>
      <c r="C35" s="29"/>
      <c r="D35" s="29"/>
      <c r="E35" s="29"/>
      <c r="F35" s="29"/>
      <c r="G35" s="29"/>
      <c r="H35" s="29"/>
      <c r="I35" s="29"/>
    </row>
    <row r="36" ht="41.8" customHeight="1" spans="1:9" x14ac:dyDescent="0.25">
      <c r="A36" s="23" t="s">
        <v>1824</v>
      </c>
      <c r="B36" s="24" t="s">
        <v>1825</v>
      </c>
      <c r="C36" s="24" t="s">
        <v>1826</v>
      </c>
      <c r="D36" s="24" t="s">
        <v>1827</v>
      </c>
      <c r="E36" s="24" t="s">
        <v>1828</v>
      </c>
      <c r="F36" s="25" t="s">
        <v>14</v>
      </c>
      <c r="G36" s="25" t="s">
        <v>14</v>
      </c>
      <c r="H36" s="25" t="s">
        <v>14</v>
      </c>
      <c r="I36" s="24" t="s">
        <v>1829</v>
      </c>
    </row>
    <row r="37" ht="41.8" customHeight="1" spans="1:9" x14ac:dyDescent="0.25">
      <c r="A37" s="26" t="s">
        <v>1830</v>
      </c>
      <c r="B37" s="27" t="s">
        <v>1831</v>
      </c>
      <c r="C37" s="27" t="s">
        <v>1832</v>
      </c>
      <c r="D37" s="27" t="s">
        <v>1833</v>
      </c>
      <c r="E37" s="27" t="s">
        <v>1834</v>
      </c>
      <c r="F37" s="25" t="s">
        <v>14</v>
      </c>
      <c r="G37" s="25" t="s">
        <v>14</v>
      </c>
      <c r="H37" s="25" t="s">
        <v>14</v>
      </c>
      <c r="I37" s="27" t="s">
        <v>1768</v>
      </c>
    </row>
  </sheetData>
  <mergeCells count="16">
    <mergeCell ref="A2:I2"/>
    <mergeCell ref="A4:I4"/>
    <mergeCell ref="A6:I6"/>
    <mergeCell ref="A8:I8"/>
    <mergeCell ref="A10:I10"/>
    <mergeCell ref="A12:I12"/>
    <mergeCell ref="A15:I15"/>
    <mergeCell ref="A17:I17"/>
    <mergeCell ref="A20:I20"/>
    <mergeCell ref="A22:I22"/>
    <mergeCell ref="A25:I25"/>
    <mergeCell ref="A27:I27"/>
    <mergeCell ref="A29:I29"/>
    <mergeCell ref="A31:I31"/>
    <mergeCell ref="A33:I33"/>
    <mergeCell ref="A35:I35"/>
  </mergeCells>
  <dataValidations count="16">
    <dataValidation type="list" allowBlank="1" sqref="F11">
      <formula1>"Pass,Fail,N/A"</formula1>
    </dataValidation>
    <dataValidation type="list" allowBlank="1" sqref="F13:F14">
      <formula1>"Pass,Fail,N/A"</formula1>
    </dataValidation>
    <dataValidation type="list" allowBlank="1" sqref="F16">
      <formula1>"Pass,Fail,N/A"</formula1>
    </dataValidation>
    <dataValidation type="list" allowBlank="1" sqref="F18:F19">
      <formula1>"Pass,Fail,N/A"</formula1>
    </dataValidation>
    <dataValidation type="list" allowBlank="1" sqref="F21">
      <formula1>"Pass,Fail,N/A"</formula1>
    </dataValidation>
    <dataValidation type="list" allowBlank="1" sqref="F23:F24">
      <formula1>"Pass,Fail,N/A"</formula1>
    </dataValidation>
    <dataValidation type="list" allowBlank="1" sqref="F26">
      <formula1>"Pass,Fail,N/A"</formula1>
    </dataValidation>
    <dataValidation type="list" allowBlank="1" sqref="F28">
      <formula1>"Pass,Fail,N/A"</formula1>
    </dataValidation>
    <dataValidation type="list" allowBlank="1" sqref="F3">
      <formula1>"Pass,Fail,N/A"</formula1>
    </dataValidation>
    <dataValidation type="list" allowBlank="1" sqref="F30">
      <formula1>"Pass,Fail,N/A"</formula1>
    </dataValidation>
    <dataValidation type="list" allowBlank="1" sqref="F32">
      <formula1>"Pass,Fail,N/A"</formula1>
    </dataValidation>
    <dataValidation type="list" allowBlank="1" sqref="F34">
      <formula1>"Pass,Fail,N/A"</formula1>
    </dataValidation>
    <dataValidation type="list" allowBlank="1" sqref="F36:F37">
      <formula1>"Pass,Fail,N/A"</formula1>
    </dataValidation>
    <dataValidation type="list" allowBlank="1" sqref="F5">
      <formula1>"Pass,Fail,N/A"</formula1>
    </dataValidation>
    <dataValidation type="list" allowBlank="1" sqref="F7">
      <formula1>"Pass,Fail,N/A"</formula1>
    </dataValidation>
    <dataValidation type="list" allowBlank="1" sqref="F9">
      <formula1>"Pass,Fail,N/A"</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1835</v>
      </c>
      <c r="B2" s="22"/>
      <c r="C2" s="22"/>
      <c r="D2" s="22"/>
      <c r="E2" s="22"/>
      <c r="F2" s="22"/>
      <c r="G2" s="22"/>
      <c r="H2" s="22"/>
      <c r="I2" s="22"/>
    </row>
    <row r="3" ht="54.4" customHeight="1" spans="1:9" x14ac:dyDescent="0.25">
      <c r="A3" s="23" t="s">
        <v>1836</v>
      </c>
      <c r="B3" s="24" t="s">
        <v>430</v>
      </c>
      <c r="C3" s="24" t="s">
        <v>1837</v>
      </c>
      <c r="D3" s="24" t="s">
        <v>1838</v>
      </c>
      <c r="E3" s="24" t="s">
        <v>1839</v>
      </c>
      <c r="F3" s="25" t="s">
        <v>14</v>
      </c>
      <c r="G3" s="25" t="s">
        <v>14</v>
      </c>
      <c r="H3" s="25" t="s">
        <v>14</v>
      </c>
      <c r="I3" s="24" t="s">
        <v>14</v>
      </c>
    </row>
    <row r="4" ht="41.8" customHeight="1" spans="1:9" x14ac:dyDescent="0.25">
      <c r="A4" s="26" t="s">
        <v>1840</v>
      </c>
      <c r="B4" s="27" t="s">
        <v>430</v>
      </c>
      <c r="C4" s="27" t="s">
        <v>1841</v>
      </c>
      <c r="D4" s="27" t="s">
        <v>1842</v>
      </c>
      <c r="E4" s="27" t="s">
        <v>1843</v>
      </c>
      <c r="F4" s="25" t="s">
        <v>14</v>
      </c>
      <c r="G4" s="25" t="s">
        <v>14</v>
      </c>
      <c r="H4" s="25" t="s">
        <v>14</v>
      </c>
      <c r="I4" s="27" t="s">
        <v>14</v>
      </c>
    </row>
    <row r="5" ht="18" customHeight="1" spans="1:9" x14ac:dyDescent="0.25">
      <c r="A5" s="22" t="s">
        <v>1844</v>
      </c>
      <c r="B5" s="22"/>
      <c r="C5" s="22"/>
      <c r="D5" s="22"/>
      <c r="E5" s="22"/>
      <c r="F5" s="22"/>
      <c r="G5" s="22"/>
      <c r="H5" s="22"/>
      <c r="I5" s="22"/>
    </row>
    <row r="6" ht="41.8" customHeight="1" spans="1:9" x14ac:dyDescent="0.25">
      <c r="A6" s="23" t="s">
        <v>1845</v>
      </c>
      <c r="B6" s="24" t="s">
        <v>1846</v>
      </c>
      <c r="C6" s="24" t="s">
        <v>1847</v>
      </c>
      <c r="D6" s="24" t="s">
        <v>1848</v>
      </c>
      <c r="E6" s="24" t="s">
        <v>1849</v>
      </c>
      <c r="F6" s="25" t="s">
        <v>14</v>
      </c>
      <c r="G6" s="25" t="s">
        <v>14</v>
      </c>
      <c r="H6" s="25" t="s">
        <v>14</v>
      </c>
      <c r="I6" s="24" t="s">
        <v>14</v>
      </c>
    </row>
    <row r="7" ht="41.8" customHeight="1" spans="1:9" x14ac:dyDescent="0.25">
      <c r="A7" s="26" t="s">
        <v>1850</v>
      </c>
      <c r="B7" s="27" t="s">
        <v>1846</v>
      </c>
      <c r="C7" s="27" t="s">
        <v>1851</v>
      </c>
      <c r="D7" s="27" t="s">
        <v>1852</v>
      </c>
      <c r="E7" s="27" t="s">
        <v>1853</v>
      </c>
      <c r="F7" s="25" t="s">
        <v>14</v>
      </c>
      <c r="G7" s="25" t="s">
        <v>14</v>
      </c>
      <c r="H7" s="25" t="s">
        <v>14</v>
      </c>
      <c r="I7" s="27" t="s">
        <v>14</v>
      </c>
    </row>
    <row r="8" ht="29.2" customHeight="1" spans="1:9" x14ac:dyDescent="0.25">
      <c r="A8" s="23" t="s">
        <v>1854</v>
      </c>
      <c r="B8" s="24" t="s">
        <v>1846</v>
      </c>
      <c r="C8" s="24" t="s">
        <v>1851</v>
      </c>
      <c r="D8" s="24" t="s">
        <v>1855</v>
      </c>
      <c r="E8" s="24" t="s">
        <v>1856</v>
      </c>
      <c r="F8" s="25" t="s">
        <v>14</v>
      </c>
      <c r="G8" s="25" t="s">
        <v>14</v>
      </c>
      <c r="H8" s="25" t="s">
        <v>14</v>
      </c>
      <c r="I8" s="24" t="s">
        <v>1857</v>
      </c>
    </row>
    <row r="9" ht="18" customHeight="1" spans="1:9" x14ac:dyDescent="0.25">
      <c r="A9" s="22" t="s">
        <v>1858</v>
      </c>
      <c r="B9" s="22"/>
      <c r="C9" s="22"/>
      <c r="D9" s="22"/>
      <c r="E9" s="22"/>
      <c r="F9" s="22"/>
      <c r="G9" s="22"/>
      <c r="H9" s="22"/>
      <c r="I9" s="22"/>
    </row>
    <row r="10" ht="67" customHeight="1" spans="1:9" x14ac:dyDescent="0.25">
      <c r="A10" s="23" t="s">
        <v>1859</v>
      </c>
      <c r="B10" s="24" t="s">
        <v>1860</v>
      </c>
      <c r="C10" s="24" t="s">
        <v>1861</v>
      </c>
      <c r="D10" s="24" t="s">
        <v>1862</v>
      </c>
      <c r="E10" s="24" t="s">
        <v>1863</v>
      </c>
      <c r="F10" s="25" t="s">
        <v>14</v>
      </c>
      <c r="G10" s="25" t="s">
        <v>14</v>
      </c>
      <c r="H10" s="25" t="s">
        <v>14</v>
      </c>
      <c r="I10" s="24" t="s">
        <v>1864</v>
      </c>
    </row>
    <row r="11" ht="54.4" customHeight="1" spans="1:9" x14ac:dyDescent="0.25">
      <c r="A11" s="26" t="s">
        <v>1865</v>
      </c>
      <c r="B11" s="27" t="s">
        <v>1860</v>
      </c>
      <c r="C11" s="27" t="s">
        <v>1866</v>
      </c>
      <c r="D11" s="27" t="s">
        <v>1867</v>
      </c>
      <c r="E11" s="27" t="s">
        <v>1868</v>
      </c>
      <c r="F11" s="25" t="s">
        <v>14</v>
      </c>
      <c r="G11" s="25" t="s">
        <v>14</v>
      </c>
      <c r="H11" s="25" t="s">
        <v>14</v>
      </c>
      <c r="I11" s="27" t="s">
        <v>14</v>
      </c>
    </row>
    <row r="12" ht="41.8" customHeight="1" spans="1:9" x14ac:dyDescent="0.25">
      <c r="A12" s="23" t="s">
        <v>1869</v>
      </c>
      <c r="B12" s="24" t="s">
        <v>1860</v>
      </c>
      <c r="C12" s="24" t="s">
        <v>1870</v>
      </c>
      <c r="D12" s="24" t="s">
        <v>1871</v>
      </c>
      <c r="E12" s="24" t="s">
        <v>1872</v>
      </c>
      <c r="F12" s="25" t="s">
        <v>14</v>
      </c>
      <c r="G12" s="25" t="s">
        <v>14</v>
      </c>
      <c r="H12" s="25" t="s">
        <v>14</v>
      </c>
      <c r="I12" s="24" t="s">
        <v>14</v>
      </c>
    </row>
    <row r="13" ht="29.2" customHeight="1" spans="1:9" x14ac:dyDescent="0.25">
      <c r="A13" s="26" t="s">
        <v>1873</v>
      </c>
      <c r="B13" s="27" t="s">
        <v>1860</v>
      </c>
      <c r="C13" s="27" t="s">
        <v>1874</v>
      </c>
      <c r="D13" s="27" t="s">
        <v>1875</v>
      </c>
      <c r="E13" s="27" t="s">
        <v>1876</v>
      </c>
      <c r="F13" s="25" t="s">
        <v>14</v>
      </c>
      <c r="G13" s="25" t="s">
        <v>14</v>
      </c>
      <c r="H13" s="25" t="s">
        <v>14</v>
      </c>
      <c r="I13" s="27" t="s">
        <v>14</v>
      </c>
    </row>
  </sheetData>
  <mergeCells count="3">
    <mergeCell ref="A2:I2"/>
    <mergeCell ref="A5:I5"/>
    <mergeCell ref="A9:I9"/>
  </mergeCells>
  <dataValidations count="3">
    <dataValidation type="list" allowBlank="1" sqref="F10:F13">
      <formula1>"Pass,Fail,N/A"</formula1>
    </dataValidation>
    <dataValidation type="list" allowBlank="1" sqref="F3:F4">
      <formula1>"Pass,Fail,N/A"</formula1>
    </dataValidation>
    <dataValidation type="list" allowBlank="1" sqref="F6:F8">
      <formula1>"Pass,Fail,N/A"</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1877</v>
      </c>
      <c r="B2" s="22"/>
      <c r="C2" s="22"/>
      <c r="D2" s="22"/>
      <c r="E2" s="22"/>
      <c r="F2" s="22"/>
      <c r="G2" s="22"/>
      <c r="H2" s="22"/>
      <c r="I2" s="22"/>
    </row>
    <row r="3" ht="54.4" customHeight="1" spans="1:9" x14ac:dyDescent="0.25">
      <c r="A3" s="23" t="s">
        <v>341</v>
      </c>
      <c r="B3" s="24" t="s">
        <v>1878</v>
      </c>
      <c r="C3" s="24" t="s">
        <v>1879</v>
      </c>
      <c r="D3" s="24" t="s">
        <v>1880</v>
      </c>
      <c r="E3" s="24" t="s">
        <v>1881</v>
      </c>
      <c r="F3" s="25" t="s">
        <v>14</v>
      </c>
      <c r="G3" s="25" t="s">
        <v>14</v>
      </c>
      <c r="H3" s="25" t="s">
        <v>14</v>
      </c>
      <c r="I3" s="24" t="s">
        <v>1882</v>
      </c>
    </row>
    <row r="4" ht="18" customHeight="1" spans="1:9" x14ac:dyDescent="0.25">
      <c r="A4" s="22" t="s">
        <v>1883</v>
      </c>
      <c r="B4" s="22"/>
      <c r="C4" s="22"/>
      <c r="D4" s="22"/>
      <c r="E4" s="22"/>
      <c r="F4" s="22"/>
      <c r="G4" s="22"/>
      <c r="H4" s="22"/>
      <c r="I4" s="22"/>
    </row>
    <row r="5" ht="67" customHeight="1" spans="1:9" x14ac:dyDescent="0.25">
      <c r="A5" s="23" t="s">
        <v>1884</v>
      </c>
      <c r="B5" s="24" t="s">
        <v>1878</v>
      </c>
      <c r="C5" s="24" t="s">
        <v>1885</v>
      </c>
      <c r="D5" s="24" t="s">
        <v>1886</v>
      </c>
      <c r="E5" s="24" t="s">
        <v>1887</v>
      </c>
      <c r="F5" s="25" t="s">
        <v>14</v>
      </c>
      <c r="G5" s="25" t="s">
        <v>14</v>
      </c>
      <c r="H5" s="25" t="s">
        <v>14</v>
      </c>
      <c r="I5" s="24" t="s">
        <v>14</v>
      </c>
    </row>
    <row r="6" ht="54.4" customHeight="1" spans="1:9" x14ac:dyDescent="0.25">
      <c r="A6" s="26" t="s">
        <v>1888</v>
      </c>
      <c r="B6" s="27" t="s">
        <v>1878</v>
      </c>
      <c r="C6" s="27" t="s">
        <v>1889</v>
      </c>
      <c r="D6" s="27" t="s">
        <v>1890</v>
      </c>
      <c r="E6" s="27" t="s">
        <v>1891</v>
      </c>
      <c r="F6" s="25" t="s">
        <v>14</v>
      </c>
      <c r="G6" s="25" t="s">
        <v>14</v>
      </c>
      <c r="H6" s="25" t="s">
        <v>14</v>
      </c>
      <c r="I6" s="27" t="s">
        <v>14</v>
      </c>
    </row>
    <row r="7" ht="67" customHeight="1" spans="1:9" x14ac:dyDescent="0.25">
      <c r="A7" s="23" t="s">
        <v>1892</v>
      </c>
      <c r="B7" s="24" t="s">
        <v>1878</v>
      </c>
      <c r="C7" s="24" t="s">
        <v>1893</v>
      </c>
      <c r="D7" s="24" t="s">
        <v>1894</v>
      </c>
      <c r="E7" s="24" t="s">
        <v>1895</v>
      </c>
      <c r="F7" s="25" t="s">
        <v>14</v>
      </c>
      <c r="G7" s="25" t="s">
        <v>14</v>
      </c>
      <c r="H7" s="25" t="s">
        <v>14</v>
      </c>
      <c r="I7" s="24" t="s">
        <v>14</v>
      </c>
    </row>
    <row r="8" ht="18" customHeight="1" spans="1:9" x14ac:dyDescent="0.25">
      <c r="A8" s="22" t="s">
        <v>1896</v>
      </c>
      <c r="B8" s="22"/>
      <c r="C8" s="22"/>
      <c r="D8" s="22"/>
      <c r="E8" s="22"/>
      <c r="F8" s="22"/>
      <c r="G8" s="22"/>
      <c r="H8" s="22"/>
      <c r="I8" s="22"/>
    </row>
    <row r="9" ht="54.4" customHeight="1" spans="1:9" x14ac:dyDescent="0.25">
      <c r="A9" s="23" t="s">
        <v>1897</v>
      </c>
      <c r="B9" s="24" t="s">
        <v>1898</v>
      </c>
      <c r="C9" s="24" t="s">
        <v>1899</v>
      </c>
      <c r="D9" s="24" t="s">
        <v>1900</v>
      </c>
      <c r="E9" s="24" t="s">
        <v>1901</v>
      </c>
      <c r="F9" s="25" t="s">
        <v>14</v>
      </c>
      <c r="G9" s="25" t="s">
        <v>14</v>
      </c>
      <c r="H9" s="25" t="s">
        <v>14</v>
      </c>
      <c r="I9" s="24" t="s">
        <v>14</v>
      </c>
    </row>
    <row r="10" ht="41.8" customHeight="1" spans="1:9" x14ac:dyDescent="0.25">
      <c r="A10" s="26" t="s">
        <v>1902</v>
      </c>
      <c r="B10" s="27" t="s">
        <v>1898</v>
      </c>
      <c r="C10" s="27" t="s">
        <v>1903</v>
      </c>
      <c r="D10" s="27" t="s">
        <v>1904</v>
      </c>
      <c r="E10" s="27" t="s">
        <v>1905</v>
      </c>
      <c r="F10" s="25" t="s">
        <v>14</v>
      </c>
      <c r="G10" s="25" t="s">
        <v>14</v>
      </c>
      <c r="H10" s="25" t="s">
        <v>14</v>
      </c>
      <c r="I10" s="27" t="s">
        <v>14</v>
      </c>
    </row>
    <row r="11" ht="18" customHeight="1" spans="1:9" x14ac:dyDescent="0.25">
      <c r="A11" s="22" t="s">
        <v>1906</v>
      </c>
      <c r="B11" s="22"/>
      <c r="C11" s="22"/>
      <c r="D11" s="22"/>
      <c r="E11" s="22"/>
      <c r="F11" s="22"/>
      <c r="G11" s="22"/>
      <c r="H11" s="22"/>
      <c r="I11" s="22"/>
    </row>
    <row r="12" ht="54.4" customHeight="1" spans="1:9" x14ac:dyDescent="0.25">
      <c r="A12" s="23" t="s">
        <v>354</v>
      </c>
      <c r="B12" s="24" t="s">
        <v>1907</v>
      </c>
      <c r="C12" s="24" t="s">
        <v>1908</v>
      </c>
      <c r="D12" s="24" t="s">
        <v>1909</v>
      </c>
      <c r="E12" s="24" t="s">
        <v>1910</v>
      </c>
      <c r="F12" s="25" t="s">
        <v>14</v>
      </c>
      <c r="G12" s="25" t="s">
        <v>14</v>
      </c>
      <c r="H12" s="25" t="s">
        <v>14</v>
      </c>
      <c r="I12" s="24" t="s">
        <v>1911</v>
      </c>
    </row>
    <row r="13" ht="18" customHeight="1" spans="1:9" x14ac:dyDescent="0.25">
      <c r="A13" s="22" t="s">
        <v>1912</v>
      </c>
      <c r="B13" s="22"/>
      <c r="C13" s="22"/>
      <c r="D13" s="22"/>
      <c r="E13" s="22"/>
      <c r="F13" s="22"/>
      <c r="G13" s="22"/>
      <c r="H13" s="22"/>
      <c r="I13" s="22"/>
    </row>
    <row r="14" ht="67" customHeight="1" spans="1:9" x14ac:dyDescent="0.25">
      <c r="A14" s="23" t="s">
        <v>417</v>
      </c>
      <c r="B14" s="24" t="s">
        <v>1913</v>
      </c>
      <c r="C14" s="24" t="s">
        <v>1914</v>
      </c>
      <c r="D14" s="24" t="s">
        <v>1915</v>
      </c>
      <c r="E14" s="24" t="s">
        <v>1916</v>
      </c>
      <c r="F14" s="25" t="s">
        <v>14</v>
      </c>
      <c r="G14" s="25" t="s">
        <v>14</v>
      </c>
      <c r="H14" s="25" t="s">
        <v>14</v>
      </c>
      <c r="I14" s="24" t="s">
        <v>1917</v>
      </c>
    </row>
    <row r="15" ht="18" customHeight="1" spans="1:9" x14ac:dyDescent="0.25">
      <c r="A15" s="22" t="s">
        <v>1918</v>
      </c>
      <c r="B15" s="22"/>
      <c r="C15" s="22"/>
      <c r="D15" s="22"/>
      <c r="E15" s="22"/>
      <c r="F15" s="22"/>
      <c r="G15" s="22"/>
      <c r="H15" s="22"/>
      <c r="I15" s="22"/>
    </row>
    <row r="16" ht="41.8" customHeight="1" spans="1:9" x14ac:dyDescent="0.25">
      <c r="A16" s="23" t="s">
        <v>1919</v>
      </c>
      <c r="B16" s="24" t="s">
        <v>1913</v>
      </c>
      <c r="C16" s="24" t="s">
        <v>1920</v>
      </c>
      <c r="D16" s="24" t="s">
        <v>1921</v>
      </c>
      <c r="E16" s="24" t="s">
        <v>1922</v>
      </c>
      <c r="F16" s="25" t="s">
        <v>14</v>
      </c>
      <c r="G16" s="25" t="s">
        <v>14</v>
      </c>
      <c r="H16" s="25" t="s">
        <v>14</v>
      </c>
      <c r="I16" s="24" t="s">
        <v>14</v>
      </c>
    </row>
    <row r="17" ht="54.4" customHeight="1" spans="1:9" x14ac:dyDescent="0.25">
      <c r="A17" s="26" t="s">
        <v>1923</v>
      </c>
      <c r="B17" s="27" t="s">
        <v>1913</v>
      </c>
      <c r="C17" s="27" t="s">
        <v>1924</v>
      </c>
      <c r="D17" s="27" t="s">
        <v>1925</v>
      </c>
      <c r="E17" s="27" t="s">
        <v>1926</v>
      </c>
      <c r="F17" s="25" t="s">
        <v>14</v>
      </c>
      <c r="G17" s="25" t="s">
        <v>14</v>
      </c>
      <c r="H17" s="25" t="s">
        <v>14</v>
      </c>
      <c r="I17" s="27" t="s">
        <v>14</v>
      </c>
    </row>
    <row r="18" ht="41.8" customHeight="1" spans="1:9" x14ac:dyDescent="0.25">
      <c r="A18" s="23" t="s">
        <v>1927</v>
      </c>
      <c r="B18" s="24" t="s">
        <v>1913</v>
      </c>
      <c r="C18" s="24" t="s">
        <v>1928</v>
      </c>
      <c r="D18" s="24" t="s">
        <v>1929</v>
      </c>
      <c r="E18" s="24" t="s">
        <v>1930</v>
      </c>
      <c r="F18" s="25" t="s">
        <v>14</v>
      </c>
      <c r="G18" s="25" t="s">
        <v>14</v>
      </c>
      <c r="H18" s="25" t="s">
        <v>14</v>
      </c>
      <c r="I18" s="24" t="s">
        <v>14</v>
      </c>
    </row>
    <row r="19" ht="41.8" customHeight="1" spans="1:9" x14ac:dyDescent="0.25">
      <c r="A19" s="26" t="s">
        <v>1931</v>
      </c>
      <c r="B19" s="27" t="s">
        <v>1913</v>
      </c>
      <c r="C19" s="27" t="s">
        <v>1932</v>
      </c>
      <c r="D19" s="27" t="s">
        <v>1933</v>
      </c>
      <c r="E19" s="27" t="s">
        <v>1934</v>
      </c>
      <c r="F19" s="25" t="s">
        <v>14</v>
      </c>
      <c r="G19" s="25" t="s">
        <v>14</v>
      </c>
      <c r="H19" s="25" t="s">
        <v>14</v>
      </c>
      <c r="I19" s="27" t="s">
        <v>14</v>
      </c>
    </row>
    <row r="20" ht="18" customHeight="1" spans="1:9" x14ac:dyDescent="0.25">
      <c r="A20" s="22" t="s">
        <v>1935</v>
      </c>
      <c r="B20" s="22"/>
      <c r="C20" s="22"/>
      <c r="D20" s="22"/>
      <c r="E20" s="22"/>
      <c r="F20" s="22"/>
      <c r="G20" s="22"/>
      <c r="H20" s="22"/>
      <c r="I20" s="22"/>
    </row>
    <row r="21" ht="67" customHeight="1" spans="1:9" x14ac:dyDescent="0.25">
      <c r="A21" s="23" t="s">
        <v>448</v>
      </c>
      <c r="B21" s="24" t="s">
        <v>1936</v>
      </c>
      <c r="C21" s="24" t="s">
        <v>1937</v>
      </c>
      <c r="D21" s="24" t="s">
        <v>1938</v>
      </c>
      <c r="E21" s="24" t="s">
        <v>1939</v>
      </c>
      <c r="F21" s="25" t="s">
        <v>14</v>
      </c>
      <c r="G21" s="25" t="s">
        <v>14</v>
      </c>
      <c r="H21" s="25" t="s">
        <v>14</v>
      </c>
      <c r="I21" s="24" t="s">
        <v>1940</v>
      </c>
    </row>
    <row r="22" ht="18" customHeight="1" spans="1:9" x14ac:dyDescent="0.25">
      <c r="A22" s="22" t="s">
        <v>1941</v>
      </c>
      <c r="B22" s="22"/>
      <c r="C22" s="22"/>
      <c r="D22" s="22"/>
      <c r="E22" s="22"/>
      <c r="F22" s="22"/>
      <c r="G22" s="22"/>
      <c r="H22" s="22"/>
      <c r="I22" s="22"/>
    </row>
    <row r="23" ht="41.8" customHeight="1" spans="1:9" x14ac:dyDescent="0.25">
      <c r="A23" s="23" t="s">
        <v>1942</v>
      </c>
      <c r="B23" s="24" t="s">
        <v>1943</v>
      </c>
      <c r="C23" s="24" t="s">
        <v>1944</v>
      </c>
      <c r="D23" s="24" t="s">
        <v>1945</v>
      </c>
      <c r="E23" s="24" t="s">
        <v>1946</v>
      </c>
      <c r="F23" s="25" t="s">
        <v>14</v>
      </c>
      <c r="G23" s="25" t="s">
        <v>14</v>
      </c>
      <c r="H23" s="25" t="s">
        <v>14</v>
      </c>
      <c r="I23" s="24" t="s">
        <v>14</v>
      </c>
    </row>
    <row r="24" ht="29.2" customHeight="1" spans="1:9" x14ac:dyDescent="0.25">
      <c r="A24" s="26" t="s">
        <v>1947</v>
      </c>
      <c r="B24" s="27" t="s">
        <v>1943</v>
      </c>
      <c r="C24" s="27" t="s">
        <v>1948</v>
      </c>
      <c r="D24" s="27" t="s">
        <v>1949</v>
      </c>
      <c r="E24" s="27" t="s">
        <v>1950</v>
      </c>
      <c r="F24" s="25" t="s">
        <v>14</v>
      </c>
      <c r="G24" s="25" t="s">
        <v>14</v>
      </c>
      <c r="H24" s="25" t="s">
        <v>14</v>
      </c>
      <c r="I24" s="27" t="s">
        <v>14</v>
      </c>
    </row>
    <row r="25" ht="18" customHeight="1" spans="1:9" x14ac:dyDescent="0.25">
      <c r="A25" s="22" t="s">
        <v>1951</v>
      </c>
      <c r="B25" s="22"/>
      <c r="C25" s="22"/>
      <c r="D25" s="22"/>
      <c r="E25" s="22"/>
      <c r="F25" s="22"/>
      <c r="G25" s="22"/>
      <c r="H25" s="22"/>
      <c r="I25" s="22"/>
    </row>
    <row r="26" ht="41.8" customHeight="1" spans="1:9" x14ac:dyDescent="0.25">
      <c r="A26" s="23" t="s">
        <v>500</v>
      </c>
      <c r="B26" s="24" t="s">
        <v>1952</v>
      </c>
      <c r="C26" s="24" t="s">
        <v>1953</v>
      </c>
      <c r="D26" s="24" t="s">
        <v>1954</v>
      </c>
      <c r="E26" s="24" t="s">
        <v>1955</v>
      </c>
      <c r="F26" s="25" t="s">
        <v>14</v>
      </c>
      <c r="G26" s="25" t="s">
        <v>14</v>
      </c>
      <c r="H26" s="25" t="s">
        <v>14</v>
      </c>
      <c r="I26" s="24" t="s">
        <v>1956</v>
      </c>
    </row>
    <row r="27" ht="18" customHeight="1" spans="1:9" x14ac:dyDescent="0.25">
      <c r="A27" s="22" t="s">
        <v>1957</v>
      </c>
      <c r="B27" s="22"/>
      <c r="C27" s="22"/>
      <c r="D27" s="22"/>
      <c r="E27" s="22"/>
      <c r="F27" s="22"/>
      <c r="G27" s="22"/>
      <c r="H27" s="22"/>
      <c r="I27" s="22"/>
    </row>
    <row r="28" ht="54.4" customHeight="1" spans="1:9" x14ac:dyDescent="0.25">
      <c r="A28" s="23" t="s">
        <v>503</v>
      </c>
      <c r="B28" s="24" t="s">
        <v>1952</v>
      </c>
      <c r="C28" s="24" t="s">
        <v>1958</v>
      </c>
      <c r="D28" s="24" t="s">
        <v>1959</v>
      </c>
      <c r="E28" s="24" t="s">
        <v>1960</v>
      </c>
      <c r="F28" s="25" t="s">
        <v>14</v>
      </c>
      <c r="G28" s="25" t="s">
        <v>14</v>
      </c>
      <c r="H28" s="25" t="s">
        <v>14</v>
      </c>
      <c r="I28" s="24" t="s">
        <v>1961</v>
      </c>
    </row>
    <row r="29" ht="18" customHeight="1" spans="1:9" x14ac:dyDescent="0.25">
      <c r="A29" s="22" t="s">
        <v>1962</v>
      </c>
      <c r="B29" s="22"/>
      <c r="C29" s="22"/>
      <c r="D29" s="22"/>
      <c r="E29" s="22"/>
      <c r="F29" s="22"/>
      <c r="G29" s="22"/>
      <c r="H29" s="22"/>
      <c r="I29" s="22"/>
    </row>
    <row r="30" ht="54.4" customHeight="1" spans="1:9" x14ac:dyDescent="0.25">
      <c r="A30" s="23" t="s">
        <v>506</v>
      </c>
      <c r="B30" s="24" t="s">
        <v>1952</v>
      </c>
      <c r="C30" s="24" t="s">
        <v>1963</v>
      </c>
      <c r="D30" s="24" t="s">
        <v>1964</v>
      </c>
      <c r="E30" s="24" t="s">
        <v>1965</v>
      </c>
      <c r="F30" s="25" t="s">
        <v>14</v>
      </c>
      <c r="G30" s="25" t="s">
        <v>14</v>
      </c>
      <c r="H30" s="25" t="s">
        <v>14</v>
      </c>
      <c r="I30" s="24" t="s">
        <v>1966</v>
      </c>
    </row>
    <row r="31" ht="18" customHeight="1" spans="1:9" x14ac:dyDescent="0.25">
      <c r="A31" s="22" t="s">
        <v>1967</v>
      </c>
      <c r="B31" s="22"/>
      <c r="C31" s="22"/>
      <c r="D31" s="22"/>
      <c r="E31" s="22"/>
      <c r="F31" s="22"/>
      <c r="G31" s="22"/>
      <c r="H31" s="22"/>
      <c r="I31" s="22"/>
    </row>
    <row r="32" ht="41.8" customHeight="1" spans="1:9" x14ac:dyDescent="0.25">
      <c r="A32" s="23" t="s">
        <v>509</v>
      </c>
      <c r="B32" s="24" t="s">
        <v>1952</v>
      </c>
      <c r="C32" s="24" t="s">
        <v>1968</v>
      </c>
      <c r="D32" s="24" t="s">
        <v>1969</v>
      </c>
      <c r="E32" s="24" t="s">
        <v>1970</v>
      </c>
      <c r="F32" s="25" t="s">
        <v>14</v>
      </c>
      <c r="G32" s="25" t="s">
        <v>14</v>
      </c>
      <c r="H32" s="25" t="s">
        <v>14</v>
      </c>
      <c r="I32" s="24" t="s">
        <v>1971</v>
      </c>
    </row>
    <row r="33" ht="18" customHeight="1" spans="1:9" x14ac:dyDescent="0.25">
      <c r="A33" s="22" t="s">
        <v>1972</v>
      </c>
      <c r="B33" s="22"/>
      <c r="C33" s="22"/>
      <c r="D33" s="22"/>
      <c r="E33" s="22"/>
      <c r="F33" s="22"/>
      <c r="G33" s="22"/>
      <c r="H33" s="22"/>
      <c r="I33" s="22"/>
    </row>
    <row r="34" ht="15" customHeight="1" spans="1:9" x14ac:dyDescent="0.25">
      <c r="A34" s="28" t="s">
        <v>1005</v>
      </c>
      <c r="B34" s="28"/>
      <c r="C34" s="28"/>
      <c r="D34" s="28"/>
      <c r="E34" s="28"/>
      <c r="F34" s="28"/>
      <c r="G34" s="28"/>
      <c r="H34" s="28"/>
      <c r="I34" s="28"/>
    </row>
    <row r="35" ht="18" customHeight="1" spans="1:9" x14ac:dyDescent="0.25">
      <c r="A35" s="22" t="s">
        <v>1973</v>
      </c>
      <c r="B35" s="22"/>
      <c r="C35" s="22"/>
      <c r="D35" s="22"/>
      <c r="E35" s="22"/>
      <c r="F35" s="22"/>
      <c r="G35" s="22"/>
      <c r="H35" s="22"/>
      <c r="I35" s="22"/>
    </row>
    <row r="36" ht="29.2" customHeight="1" spans="1:9" x14ac:dyDescent="0.25">
      <c r="A36" s="23" t="s">
        <v>520</v>
      </c>
      <c r="B36" s="24" t="s">
        <v>1952</v>
      </c>
      <c r="C36" s="24" t="s">
        <v>1974</v>
      </c>
      <c r="D36" s="24" t="s">
        <v>1975</v>
      </c>
      <c r="E36" s="24" t="s">
        <v>1976</v>
      </c>
      <c r="F36" s="25" t="s">
        <v>14</v>
      </c>
      <c r="G36" s="25" t="s">
        <v>14</v>
      </c>
      <c r="H36" s="25" t="s">
        <v>14</v>
      </c>
      <c r="I36" s="24" t="s">
        <v>1977</v>
      </c>
    </row>
  </sheetData>
  <mergeCells count="15">
    <mergeCell ref="A2:I2"/>
    <mergeCell ref="A4:I4"/>
    <mergeCell ref="A8:I8"/>
    <mergeCell ref="A11:I11"/>
    <mergeCell ref="A13:I13"/>
    <mergeCell ref="A15:I15"/>
    <mergeCell ref="A20:I20"/>
    <mergeCell ref="A22:I22"/>
    <mergeCell ref="A25:I25"/>
    <mergeCell ref="A27:I27"/>
    <mergeCell ref="A29:I29"/>
    <mergeCell ref="A31:I31"/>
    <mergeCell ref="A33:I33"/>
    <mergeCell ref="A34:I34"/>
    <mergeCell ref="A35:I35"/>
  </mergeCells>
  <dataValidations count="14">
    <dataValidation type="list" allowBlank="1" sqref="F10">
      <formula1>"Pass,Fail,N/A"</formula1>
    </dataValidation>
    <dataValidation type="list" allowBlank="1" sqref="F12">
      <formula1>"Pass,Fail,N/A"</formula1>
    </dataValidation>
    <dataValidation type="list" allowBlank="1" sqref="F14">
      <formula1>"Pass,Fail,N/A"</formula1>
    </dataValidation>
    <dataValidation type="list" allowBlank="1" sqref="F16:F19">
      <formula1>"Pass,Fail,N/A"</formula1>
    </dataValidation>
    <dataValidation type="list" allowBlank="1" sqref="F21">
      <formula1>"Pass,Fail,N/A"</formula1>
    </dataValidation>
    <dataValidation type="list" allowBlank="1" sqref="F23:F24">
      <formula1>"Pass,Fail,N/A"</formula1>
    </dataValidation>
    <dataValidation type="list" allowBlank="1" sqref="F26">
      <formula1>"Pass,Fail,N/A"</formula1>
    </dataValidation>
    <dataValidation type="list" allowBlank="1" sqref="F28">
      <formula1>"Pass,Fail,N/A"</formula1>
    </dataValidation>
    <dataValidation type="list" allowBlank="1" sqref="F3">
      <formula1>"Pass,Fail,N/A"</formula1>
    </dataValidation>
    <dataValidation type="list" allowBlank="1" sqref="F30">
      <formula1>"Pass,Fail,N/A"</formula1>
    </dataValidation>
    <dataValidation type="list" allowBlank="1" sqref="F32">
      <formula1>"Pass,Fail,N/A"</formula1>
    </dataValidation>
    <dataValidation type="list" allowBlank="1" sqref="F36">
      <formula1>"Pass,Fail,N/A"</formula1>
    </dataValidation>
    <dataValidation type="list" allowBlank="1" sqref="F5:F7">
      <formula1>"Pass,Fail,N/A"</formula1>
    </dataValidation>
    <dataValidation type="list" allowBlank="1" sqref="F9:F10">
      <formula1>"Pass,Fail,N/A"</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1978</v>
      </c>
      <c r="B2" s="22"/>
      <c r="C2" s="22"/>
      <c r="D2" s="22"/>
      <c r="E2" s="22"/>
      <c r="F2" s="22"/>
      <c r="G2" s="22"/>
      <c r="H2" s="22"/>
      <c r="I2" s="22"/>
    </row>
    <row r="3" ht="79.6" customHeight="1" spans="1:9" x14ac:dyDescent="0.25">
      <c r="A3" s="23" t="s">
        <v>1979</v>
      </c>
      <c r="B3" s="24" t="s">
        <v>1980</v>
      </c>
      <c r="C3" s="24" t="s">
        <v>1981</v>
      </c>
      <c r="D3" s="24" t="s">
        <v>1982</v>
      </c>
      <c r="E3" s="24" t="s">
        <v>1983</v>
      </c>
      <c r="F3" s="25" t="s">
        <v>14</v>
      </c>
      <c r="G3" s="25" t="s">
        <v>14</v>
      </c>
      <c r="H3" s="25" t="s">
        <v>14</v>
      </c>
      <c r="I3" s="24" t="s">
        <v>1984</v>
      </c>
    </row>
    <row r="4" ht="41.8" customHeight="1" spans="1:9" x14ac:dyDescent="0.25">
      <c r="A4" s="26" t="s">
        <v>1985</v>
      </c>
      <c r="B4" s="27" t="s">
        <v>1980</v>
      </c>
      <c r="C4" s="27" t="s">
        <v>1986</v>
      </c>
      <c r="D4" s="27" t="s">
        <v>1987</v>
      </c>
      <c r="E4" s="27" t="s">
        <v>1988</v>
      </c>
      <c r="F4" s="25" t="s">
        <v>14</v>
      </c>
      <c r="G4" s="25" t="s">
        <v>14</v>
      </c>
      <c r="H4" s="25" t="s">
        <v>14</v>
      </c>
      <c r="I4" s="27" t="s">
        <v>1984</v>
      </c>
    </row>
    <row r="5" ht="79.6" customHeight="1" spans="1:9" x14ac:dyDescent="0.25">
      <c r="A5" s="23" t="s">
        <v>1989</v>
      </c>
      <c r="B5" s="24" t="s">
        <v>1990</v>
      </c>
      <c r="C5" s="24" t="s">
        <v>1991</v>
      </c>
      <c r="D5" s="24" t="s">
        <v>1992</v>
      </c>
      <c r="E5" s="24" t="s">
        <v>1993</v>
      </c>
      <c r="F5" s="25" t="s">
        <v>14</v>
      </c>
      <c r="G5" s="25" t="s">
        <v>14</v>
      </c>
      <c r="H5" s="25" t="s">
        <v>14</v>
      </c>
      <c r="I5" s="24" t="s">
        <v>1984</v>
      </c>
    </row>
    <row r="6" ht="18" customHeight="1" spans="1:9" x14ac:dyDescent="0.25">
      <c r="A6" s="22" t="s">
        <v>1994</v>
      </c>
      <c r="B6" s="22"/>
      <c r="C6" s="22"/>
      <c r="D6" s="22"/>
      <c r="E6" s="22"/>
      <c r="F6" s="22"/>
      <c r="G6" s="22"/>
      <c r="H6" s="22"/>
      <c r="I6" s="22"/>
    </row>
    <row r="7" ht="54.4" customHeight="1" spans="1:9" x14ac:dyDescent="0.25">
      <c r="A7" s="23" t="s">
        <v>1995</v>
      </c>
      <c r="B7" s="24" t="s">
        <v>1996</v>
      </c>
      <c r="C7" s="24" t="s">
        <v>1997</v>
      </c>
      <c r="D7" s="24" t="s">
        <v>1998</v>
      </c>
      <c r="E7" s="24" t="s">
        <v>1999</v>
      </c>
      <c r="F7" s="25" t="s">
        <v>14</v>
      </c>
      <c r="G7" s="25" t="s">
        <v>14</v>
      </c>
      <c r="H7" s="25" t="s">
        <v>14</v>
      </c>
      <c r="I7" s="24" t="s">
        <v>14</v>
      </c>
    </row>
    <row r="8" ht="41.8" customHeight="1" spans="1:9" x14ac:dyDescent="0.25">
      <c r="A8" s="26" t="s">
        <v>2000</v>
      </c>
      <c r="B8" s="27" t="s">
        <v>1996</v>
      </c>
      <c r="C8" s="27" t="s">
        <v>2001</v>
      </c>
      <c r="D8" s="27" t="s">
        <v>2002</v>
      </c>
      <c r="E8" s="27" t="s">
        <v>2003</v>
      </c>
      <c r="F8" s="25" t="s">
        <v>14</v>
      </c>
      <c r="G8" s="25" t="s">
        <v>14</v>
      </c>
      <c r="H8" s="25" t="s">
        <v>14</v>
      </c>
      <c r="I8" s="27" t="s">
        <v>14</v>
      </c>
    </row>
    <row r="9" ht="67" customHeight="1" spans="1:9" x14ac:dyDescent="0.25">
      <c r="A9" s="23" t="s">
        <v>2004</v>
      </c>
      <c r="B9" s="24" t="s">
        <v>2005</v>
      </c>
      <c r="C9" s="24" t="s">
        <v>2006</v>
      </c>
      <c r="D9" s="24" t="s">
        <v>2007</v>
      </c>
      <c r="E9" s="24" t="s">
        <v>2008</v>
      </c>
      <c r="F9" s="25" t="s">
        <v>14</v>
      </c>
      <c r="G9" s="25" t="s">
        <v>14</v>
      </c>
      <c r="H9" s="25" t="s">
        <v>14</v>
      </c>
      <c r="I9" s="24" t="s">
        <v>14</v>
      </c>
    </row>
    <row r="10" ht="18" customHeight="1" spans="1:9" x14ac:dyDescent="0.25">
      <c r="A10" s="22" t="s">
        <v>2009</v>
      </c>
      <c r="B10" s="22"/>
      <c r="C10" s="22"/>
      <c r="D10" s="22"/>
      <c r="E10" s="22"/>
      <c r="F10" s="22"/>
      <c r="G10" s="22"/>
      <c r="H10" s="22"/>
      <c r="I10" s="22"/>
    </row>
    <row r="11" ht="67" customHeight="1" spans="1:9" x14ac:dyDescent="0.25">
      <c r="A11" s="23" t="s">
        <v>462</v>
      </c>
      <c r="B11" s="24" t="s">
        <v>2010</v>
      </c>
      <c r="C11" s="24" t="s">
        <v>2011</v>
      </c>
      <c r="D11" s="24" t="s">
        <v>2012</v>
      </c>
      <c r="E11" s="24" t="s">
        <v>2013</v>
      </c>
      <c r="F11" s="25" t="s">
        <v>14</v>
      </c>
      <c r="G11" s="25" t="s">
        <v>14</v>
      </c>
      <c r="H11" s="25" t="s">
        <v>14</v>
      </c>
      <c r="I11" s="24" t="s">
        <v>1984</v>
      </c>
    </row>
    <row r="12" ht="18" customHeight="1" spans="1:9" x14ac:dyDescent="0.25">
      <c r="A12" s="22" t="s">
        <v>2014</v>
      </c>
      <c r="B12" s="22"/>
      <c r="C12" s="22"/>
      <c r="D12" s="22"/>
      <c r="E12" s="22"/>
      <c r="F12" s="22"/>
      <c r="G12" s="22"/>
      <c r="H12" s="22"/>
      <c r="I12" s="22"/>
    </row>
    <row r="13" ht="54.4" customHeight="1" spans="1:9" x14ac:dyDescent="0.25">
      <c r="A13" s="23" t="s">
        <v>2015</v>
      </c>
      <c r="B13" s="24" t="s">
        <v>2016</v>
      </c>
      <c r="C13" s="24" t="s">
        <v>2017</v>
      </c>
      <c r="D13" s="24" t="s">
        <v>2018</v>
      </c>
      <c r="E13" s="24" t="s">
        <v>2019</v>
      </c>
      <c r="F13" s="25" t="s">
        <v>14</v>
      </c>
      <c r="G13" s="25" t="s">
        <v>14</v>
      </c>
      <c r="H13" s="25" t="s">
        <v>14</v>
      </c>
      <c r="I13" s="24" t="s">
        <v>14</v>
      </c>
    </row>
    <row r="14" ht="67" customHeight="1" spans="1:9" x14ac:dyDescent="0.25">
      <c r="A14" s="26" t="s">
        <v>2020</v>
      </c>
      <c r="B14" s="27" t="s">
        <v>2021</v>
      </c>
      <c r="C14" s="27" t="s">
        <v>2022</v>
      </c>
      <c r="D14" s="27" t="s">
        <v>2023</v>
      </c>
      <c r="E14" s="27" t="s">
        <v>2024</v>
      </c>
      <c r="F14" s="25" t="s">
        <v>14</v>
      </c>
      <c r="G14" s="25" t="s">
        <v>14</v>
      </c>
      <c r="H14" s="25" t="s">
        <v>14</v>
      </c>
      <c r="I14" s="27" t="s">
        <v>14</v>
      </c>
    </row>
    <row r="15" ht="41.8" customHeight="1" spans="1:9" x14ac:dyDescent="0.25">
      <c r="A15" s="23" t="s">
        <v>2025</v>
      </c>
      <c r="B15" s="24" t="s">
        <v>2026</v>
      </c>
      <c r="C15" s="24" t="s">
        <v>2027</v>
      </c>
      <c r="D15" s="24" t="s">
        <v>2028</v>
      </c>
      <c r="E15" s="24" t="s">
        <v>2029</v>
      </c>
      <c r="F15" s="25" t="s">
        <v>14</v>
      </c>
      <c r="G15" s="25" t="s">
        <v>14</v>
      </c>
      <c r="H15" s="25" t="s">
        <v>14</v>
      </c>
      <c r="I15" s="24" t="s">
        <v>14</v>
      </c>
    </row>
    <row r="16" ht="18" customHeight="1" spans="1:9" x14ac:dyDescent="0.25">
      <c r="A16" s="22" t="s">
        <v>2030</v>
      </c>
      <c r="B16" s="22"/>
      <c r="C16" s="22"/>
      <c r="D16" s="22"/>
      <c r="E16" s="22"/>
      <c r="F16" s="22"/>
      <c r="G16" s="22"/>
      <c r="H16" s="22"/>
      <c r="I16" s="22"/>
    </row>
    <row r="17" ht="41.8" customHeight="1" spans="1:9" x14ac:dyDescent="0.25">
      <c r="A17" s="23" t="s">
        <v>2031</v>
      </c>
      <c r="B17" s="24" t="s">
        <v>2032</v>
      </c>
      <c r="C17" s="24" t="s">
        <v>2033</v>
      </c>
      <c r="D17" s="24" t="s">
        <v>2034</v>
      </c>
      <c r="E17" s="24" t="s">
        <v>2035</v>
      </c>
      <c r="F17" s="25" t="s">
        <v>14</v>
      </c>
      <c r="G17" s="25" t="s">
        <v>14</v>
      </c>
      <c r="H17" s="25" t="s">
        <v>14</v>
      </c>
      <c r="I17" s="24" t="s">
        <v>14</v>
      </c>
    </row>
    <row r="18" ht="54.4" customHeight="1" spans="1:9" x14ac:dyDescent="0.25">
      <c r="A18" s="26" t="s">
        <v>2036</v>
      </c>
      <c r="B18" s="27" t="s">
        <v>2037</v>
      </c>
      <c r="C18" s="27" t="s">
        <v>2038</v>
      </c>
      <c r="D18" s="27" t="s">
        <v>2039</v>
      </c>
      <c r="E18" s="27" t="s">
        <v>2040</v>
      </c>
      <c r="F18" s="25" t="s">
        <v>14</v>
      </c>
      <c r="G18" s="25" t="s">
        <v>14</v>
      </c>
      <c r="H18" s="25" t="s">
        <v>14</v>
      </c>
      <c r="I18" s="27" t="s">
        <v>14</v>
      </c>
    </row>
    <row r="19" ht="41.8" customHeight="1" spans="1:9" x14ac:dyDescent="0.25">
      <c r="A19" s="23" t="s">
        <v>2041</v>
      </c>
      <c r="B19" s="24" t="s">
        <v>2042</v>
      </c>
      <c r="C19" s="24" t="s">
        <v>2043</v>
      </c>
      <c r="D19" s="24" t="s">
        <v>2044</v>
      </c>
      <c r="E19" s="24" t="s">
        <v>2045</v>
      </c>
      <c r="F19" s="25" t="s">
        <v>14</v>
      </c>
      <c r="G19" s="25" t="s">
        <v>14</v>
      </c>
      <c r="H19" s="25" t="s">
        <v>14</v>
      </c>
      <c r="I19" s="24" t="s">
        <v>14</v>
      </c>
    </row>
    <row r="20" ht="18" customHeight="1" spans="1:9" x14ac:dyDescent="0.25">
      <c r="A20" s="22" t="s">
        <v>2046</v>
      </c>
      <c r="B20" s="22"/>
      <c r="C20" s="22"/>
      <c r="D20" s="22"/>
      <c r="E20" s="22"/>
      <c r="F20" s="22"/>
      <c r="G20" s="22"/>
      <c r="H20" s="22"/>
      <c r="I20" s="22"/>
    </row>
    <row r="21" ht="54.4" customHeight="1" spans="1:9" x14ac:dyDescent="0.25">
      <c r="A21" s="23" t="s">
        <v>491</v>
      </c>
      <c r="B21" s="24" t="s">
        <v>2047</v>
      </c>
      <c r="C21" s="24" t="s">
        <v>2048</v>
      </c>
      <c r="D21" s="24" t="s">
        <v>2049</v>
      </c>
      <c r="E21" s="24" t="s">
        <v>2050</v>
      </c>
      <c r="F21" s="25" t="s">
        <v>14</v>
      </c>
      <c r="G21" s="25" t="s">
        <v>14</v>
      </c>
      <c r="H21" s="25" t="s">
        <v>14</v>
      </c>
      <c r="I21" s="24" t="s">
        <v>14</v>
      </c>
    </row>
    <row r="22" ht="18" customHeight="1" spans="1:9" x14ac:dyDescent="0.25">
      <c r="A22" s="22" t="s">
        <v>2051</v>
      </c>
      <c r="B22" s="22"/>
      <c r="C22" s="22"/>
      <c r="D22" s="22"/>
      <c r="E22" s="22"/>
      <c r="F22" s="22"/>
      <c r="G22" s="22"/>
      <c r="H22" s="22"/>
      <c r="I22" s="22"/>
    </row>
    <row r="23" ht="67" customHeight="1" spans="1:9" x14ac:dyDescent="0.25">
      <c r="A23" s="23" t="s">
        <v>494</v>
      </c>
      <c r="B23" s="24" t="s">
        <v>2052</v>
      </c>
      <c r="C23" s="24" t="s">
        <v>2053</v>
      </c>
      <c r="D23" s="24" t="s">
        <v>2054</v>
      </c>
      <c r="E23" s="24" t="s">
        <v>2055</v>
      </c>
      <c r="F23" s="25" t="s">
        <v>14</v>
      </c>
      <c r="G23" s="25" t="s">
        <v>14</v>
      </c>
      <c r="H23" s="25" t="s">
        <v>14</v>
      </c>
      <c r="I23" s="24" t="s">
        <v>14</v>
      </c>
    </row>
    <row r="24" ht="18" customHeight="1" spans="1:9" x14ac:dyDescent="0.25">
      <c r="A24" s="22" t="s">
        <v>2056</v>
      </c>
      <c r="B24" s="22"/>
      <c r="C24" s="22"/>
      <c r="D24" s="22"/>
      <c r="E24" s="22"/>
      <c r="F24" s="22"/>
      <c r="G24" s="22"/>
      <c r="H24" s="22"/>
      <c r="I24" s="22"/>
    </row>
    <row r="25" ht="54.4" customHeight="1" spans="1:9" x14ac:dyDescent="0.25">
      <c r="A25" s="23" t="s">
        <v>2057</v>
      </c>
      <c r="B25" s="24" t="s">
        <v>2058</v>
      </c>
      <c r="C25" s="24" t="s">
        <v>2059</v>
      </c>
      <c r="D25" s="24" t="s">
        <v>2060</v>
      </c>
      <c r="E25" s="24" t="s">
        <v>2061</v>
      </c>
      <c r="F25" s="25" t="s">
        <v>14</v>
      </c>
      <c r="G25" s="25" t="s">
        <v>14</v>
      </c>
      <c r="H25" s="25" t="s">
        <v>14</v>
      </c>
      <c r="I25" s="24" t="s">
        <v>14</v>
      </c>
    </row>
    <row r="26" ht="54.4" customHeight="1" spans="1:9" x14ac:dyDescent="0.25">
      <c r="A26" s="26" t="s">
        <v>2062</v>
      </c>
      <c r="B26" s="27" t="s">
        <v>2063</v>
      </c>
      <c r="C26" s="27" t="s">
        <v>2064</v>
      </c>
      <c r="D26" s="27" t="s">
        <v>2065</v>
      </c>
      <c r="E26" s="27" t="s">
        <v>2066</v>
      </c>
      <c r="F26" s="25" t="s">
        <v>14</v>
      </c>
      <c r="G26" s="25" t="s">
        <v>14</v>
      </c>
      <c r="H26" s="25" t="s">
        <v>14</v>
      </c>
      <c r="I26" s="27" t="s">
        <v>2067</v>
      </c>
    </row>
    <row r="27" ht="18" customHeight="1" spans="1:9" x14ac:dyDescent="0.25">
      <c r="A27" s="22" t="s">
        <v>2068</v>
      </c>
      <c r="B27" s="22"/>
      <c r="C27" s="22"/>
      <c r="D27" s="22"/>
      <c r="E27" s="22"/>
      <c r="F27" s="22"/>
      <c r="G27" s="22"/>
      <c r="H27" s="22"/>
      <c r="I27" s="22"/>
    </row>
    <row r="28" ht="67" customHeight="1" spans="1:9" x14ac:dyDescent="0.25">
      <c r="A28" s="23" t="s">
        <v>517</v>
      </c>
      <c r="B28" s="24" t="s">
        <v>2069</v>
      </c>
      <c r="C28" s="24" t="s">
        <v>2070</v>
      </c>
      <c r="D28" s="24" t="s">
        <v>2071</v>
      </c>
      <c r="E28" s="24" t="s">
        <v>2072</v>
      </c>
      <c r="F28" s="25" t="s">
        <v>14</v>
      </c>
      <c r="G28" s="25" t="s">
        <v>14</v>
      </c>
      <c r="H28" s="25" t="s">
        <v>14</v>
      </c>
      <c r="I28" s="24" t="s">
        <v>2073</v>
      </c>
    </row>
    <row r="29" ht="18" customHeight="1" spans="1:9" x14ac:dyDescent="0.25">
      <c r="A29" s="22" t="s">
        <v>2074</v>
      </c>
      <c r="B29" s="22"/>
      <c r="C29" s="22"/>
      <c r="D29" s="22"/>
      <c r="E29" s="22"/>
      <c r="F29" s="22"/>
      <c r="G29" s="22"/>
      <c r="H29" s="22"/>
      <c r="I29" s="22"/>
    </row>
    <row r="30" ht="41.8" customHeight="1" spans="1:9" x14ac:dyDescent="0.25">
      <c r="A30" s="23" t="s">
        <v>524</v>
      </c>
      <c r="B30" s="24" t="s">
        <v>2075</v>
      </c>
      <c r="C30" s="24" t="s">
        <v>2076</v>
      </c>
      <c r="D30" s="24" t="s">
        <v>2077</v>
      </c>
      <c r="E30" s="24" t="s">
        <v>2078</v>
      </c>
      <c r="F30" s="25" t="s">
        <v>14</v>
      </c>
      <c r="G30" s="25" t="s">
        <v>14</v>
      </c>
      <c r="H30" s="25" t="s">
        <v>14</v>
      </c>
      <c r="I30" s="24" t="s">
        <v>14</v>
      </c>
    </row>
    <row r="31" ht="18" customHeight="1" spans="1:9" x14ac:dyDescent="0.25">
      <c r="A31" s="22" t="s">
        <v>2079</v>
      </c>
      <c r="B31" s="22"/>
      <c r="C31" s="22"/>
      <c r="D31" s="22"/>
      <c r="E31" s="22"/>
      <c r="F31" s="22"/>
      <c r="G31" s="22"/>
      <c r="H31" s="22"/>
      <c r="I31" s="22"/>
    </row>
    <row r="32" ht="41.8" customHeight="1" spans="1:9" x14ac:dyDescent="0.25">
      <c r="A32" s="23" t="s">
        <v>527</v>
      </c>
      <c r="B32" s="24" t="s">
        <v>2080</v>
      </c>
      <c r="C32" s="24" t="s">
        <v>2081</v>
      </c>
      <c r="D32" s="24" t="s">
        <v>2082</v>
      </c>
      <c r="E32" s="24" t="s">
        <v>2083</v>
      </c>
      <c r="F32" s="25" t="s">
        <v>14</v>
      </c>
      <c r="G32" s="25" t="s">
        <v>14</v>
      </c>
      <c r="H32" s="25" t="s">
        <v>14</v>
      </c>
      <c r="I32" s="24" t="s">
        <v>14</v>
      </c>
    </row>
    <row r="33" ht="18" customHeight="1" spans="1:9" x14ac:dyDescent="0.25">
      <c r="A33" s="22" t="s">
        <v>2084</v>
      </c>
      <c r="B33" s="22"/>
      <c r="C33" s="22"/>
      <c r="D33" s="22"/>
      <c r="E33" s="22"/>
      <c r="F33" s="22"/>
      <c r="G33" s="22"/>
      <c r="H33" s="22"/>
      <c r="I33" s="22"/>
    </row>
    <row r="34" ht="54.4" customHeight="1" spans="1:9" x14ac:dyDescent="0.25">
      <c r="A34" s="23" t="s">
        <v>530</v>
      </c>
      <c r="B34" s="24" t="s">
        <v>2085</v>
      </c>
      <c r="C34" s="24" t="s">
        <v>2086</v>
      </c>
      <c r="D34" s="24" t="s">
        <v>2087</v>
      </c>
      <c r="E34" s="24" t="s">
        <v>2088</v>
      </c>
      <c r="F34" s="25" t="s">
        <v>14</v>
      </c>
      <c r="G34" s="25" t="s">
        <v>14</v>
      </c>
      <c r="H34" s="25" t="s">
        <v>14</v>
      </c>
      <c r="I34" s="24" t="s">
        <v>1984</v>
      </c>
    </row>
    <row r="35" ht="18" customHeight="1" spans="1:9" x14ac:dyDescent="0.25">
      <c r="A35" s="22" t="s">
        <v>2089</v>
      </c>
      <c r="B35" s="22"/>
      <c r="C35" s="22"/>
      <c r="D35" s="22"/>
      <c r="E35" s="22"/>
      <c r="F35" s="22"/>
      <c r="G35" s="22"/>
      <c r="H35" s="22"/>
      <c r="I35" s="22"/>
    </row>
    <row r="36" ht="41.8" customHeight="1" spans="1:9" x14ac:dyDescent="0.25">
      <c r="A36" s="23" t="s">
        <v>533</v>
      </c>
      <c r="B36" s="24" t="s">
        <v>2090</v>
      </c>
      <c r="C36" s="24" t="s">
        <v>2091</v>
      </c>
      <c r="D36" s="24" t="s">
        <v>2092</v>
      </c>
      <c r="E36" s="24" t="s">
        <v>2093</v>
      </c>
      <c r="F36" s="25" t="s">
        <v>14</v>
      </c>
      <c r="G36" s="25" t="s">
        <v>14</v>
      </c>
      <c r="H36" s="25" t="s">
        <v>14</v>
      </c>
      <c r="I36" s="24" t="s">
        <v>14</v>
      </c>
    </row>
    <row r="37" ht="18" customHeight="1" spans="1:9" x14ac:dyDescent="0.25">
      <c r="A37" s="22" t="s">
        <v>2094</v>
      </c>
      <c r="B37" s="22"/>
      <c r="C37" s="22"/>
      <c r="D37" s="22"/>
      <c r="E37" s="22"/>
      <c r="F37" s="22"/>
      <c r="G37" s="22"/>
      <c r="H37" s="22"/>
      <c r="I37" s="22"/>
    </row>
    <row r="38" ht="67" customHeight="1" spans="1:9" x14ac:dyDescent="0.25">
      <c r="A38" s="23" t="s">
        <v>2095</v>
      </c>
      <c r="B38" s="24" t="s">
        <v>2096</v>
      </c>
      <c r="C38" s="24" t="s">
        <v>2097</v>
      </c>
      <c r="D38" s="24" t="s">
        <v>2098</v>
      </c>
      <c r="E38" s="24" t="s">
        <v>2099</v>
      </c>
      <c r="F38" s="25" t="s">
        <v>14</v>
      </c>
      <c r="G38" s="25" t="s">
        <v>14</v>
      </c>
      <c r="H38" s="25" t="s">
        <v>14</v>
      </c>
      <c r="I38" s="24" t="s">
        <v>14</v>
      </c>
    </row>
    <row r="39" ht="54.4" customHeight="1" spans="1:9" x14ac:dyDescent="0.25">
      <c r="A39" s="26" t="s">
        <v>2100</v>
      </c>
      <c r="B39" s="27" t="s">
        <v>2101</v>
      </c>
      <c r="C39" s="27" t="s">
        <v>2102</v>
      </c>
      <c r="D39" s="27" t="s">
        <v>2103</v>
      </c>
      <c r="E39" s="27" t="s">
        <v>2104</v>
      </c>
      <c r="F39" s="25" t="s">
        <v>14</v>
      </c>
      <c r="G39" s="25" t="s">
        <v>14</v>
      </c>
      <c r="H39" s="25" t="s">
        <v>14</v>
      </c>
      <c r="I39" s="27" t="s">
        <v>14</v>
      </c>
    </row>
  </sheetData>
  <mergeCells count="14">
    <mergeCell ref="A2:I2"/>
    <mergeCell ref="A6:I6"/>
    <mergeCell ref="A10:I10"/>
    <mergeCell ref="A12:I12"/>
    <mergeCell ref="A16:I16"/>
    <mergeCell ref="A20:I20"/>
    <mergeCell ref="A22:I22"/>
    <mergeCell ref="A24:I24"/>
    <mergeCell ref="A27:I27"/>
    <mergeCell ref="A29:I29"/>
    <mergeCell ref="A31:I31"/>
    <mergeCell ref="A33:I33"/>
    <mergeCell ref="A35:I35"/>
    <mergeCell ref="A37:I37"/>
  </mergeCells>
  <dataValidations count="14">
    <dataValidation type="list" allowBlank="1" sqref="F11">
      <formula1>"Pass,Fail,N/A"</formula1>
    </dataValidation>
    <dataValidation type="list" allowBlank="1" sqref="F13:F15">
      <formula1>"Pass,Fail,N/A"</formula1>
    </dataValidation>
    <dataValidation type="list" allowBlank="1" sqref="F17:F19">
      <formula1>"Pass,Fail,N/A"</formula1>
    </dataValidation>
    <dataValidation type="list" allowBlank="1" sqref="F21">
      <formula1>"Pass,Fail,N/A"</formula1>
    </dataValidation>
    <dataValidation type="list" allowBlank="1" sqref="F23">
      <formula1>"Pass,Fail,N/A"</formula1>
    </dataValidation>
    <dataValidation type="list" allowBlank="1" sqref="F25:F26">
      <formula1>"Pass,Fail,N/A"</formula1>
    </dataValidation>
    <dataValidation type="list" allowBlank="1" sqref="F28">
      <formula1>"Pass,Fail,N/A"</formula1>
    </dataValidation>
    <dataValidation type="list" allowBlank="1" sqref="F3:F5">
      <formula1>"Pass,Fail,N/A"</formula1>
    </dataValidation>
    <dataValidation type="list" allowBlank="1" sqref="F30">
      <formula1>"Pass,Fail,N/A"</formula1>
    </dataValidation>
    <dataValidation type="list" allowBlank="1" sqref="F32">
      <formula1>"Pass,Fail,N/A"</formula1>
    </dataValidation>
    <dataValidation type="list" allowBlank="1" sqref="F34">
      <formula1>"Pass,Fail,N/A"</formula1>
    </dataValidation>
    <dataValidation type="list" allowBlank="1" sqref="F36">
      <formula1>"Pass,Fail,N/A"</formula1>
    </dataValidation>
    <dataValidation type="list" allowBlank="1" sqref="F38:F39">
      <formula1>"Pass,Fail,N/A"</formula1>
    </dataValidation>
    <dataValidation type="list" allowBlank="1" sqref="F7:F9">
      <formula1>"Pass,Fail,N/A"</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2105</v>
      </c>
      <c r="B2" s="22"/>
      <c r="C2" s="22"/>
      <c r="D2" s="22"/>
      <c r="E2" s="22"/>
      <c r="F2" s="22"/>
      <c r="G2" s="22"/>
      <c r="H2" s="22"/>
      <c r="I2" s="22"/>
    </row>
    <row r="3" ht="41.8" customHeight="1" spans="1:9" x14ac:dyDescent="0.25">
      <c r="A3" s="23" t="s">
        <v>2106</v>
      </c>
      <c r="B3" s="24" t="s">
        <v>2107</v>
      </c>
      <c r="C3" s="24" t="s">
        <v>2108</v>
      </c>
      <c r="D3" s="24" t="s">
        <v>2109</v>
      </c>
      <c r="E3" s="24" t="s">
        <v>2110</v>
      </c>
      <c r="F3" s="25" t="s">
        <v>14</v>
      </c>
      <c r="G3" s="25" t="s">
        <v>14</v>
      </c>
      <c r="H3" s="25" t="s">
        <v>14</v>
      </c>
      <c r="I3" s="24" t="s">
        <v>14</v>
      </c>
    </row>
    <row r="4" ht="41.8" customHeight="1" spans="1:9" x14ac:dyDescent="0.25">
      <c r="A4" s="26" t="s">
        <v>2111</v>
      </c>
      <c r="B4" s="27" t="s">
        <v>2112</v>
      </c>
      <c r="C4" s="27" t="s">
        <v>2113</v>
      </c>
      <c r="D4" s="27" t="s">
        <v>2114</v>
      </c>
      <c r="E4" s="27" t="s">
        <v>2115</v>
      </c>
      <c r="F4" s="25" t="s">
        <v>14</v>
      </c>
      <c r="G4" s="25" t="s">
        <v>14</v>
      </c>
      <c r="H4" s="25" t="s">
        <v>14</v>
      </c>
      <c r="I4" s="27" t="s">
        <v>2116</v>
      </c>
    </row>
    <row r="5" ht="18" customHeight="1" spans="1:9" x14ac:dyDescent="0.25">
      <c r="A5" s="22" t="s">
        <v>2117</v>
      </c>
      <c r="B5" s="22"/>
      <c r="C5" s="22"/>
      <c r="D5" s="22"/>
      <c r="E5" s="22"/>
      <c r="F5" s="22"/>
      <c r="G5" s="22"/>
      <c r="H5" s="22"/>
      <c r="I5" s="22"/>
    </row>
    <row r="6" ht="54.4" customHeight="1" spans="1:9" x14ac:dyDescent="0.25">
      <c r="A6" s="23" t="s">
        <v>317</v>
      </c>
      <c r="B6" s="24" t="s">
        <v>2118</v>
      </c>
      <c r="C6" s="24" t="s">
        <v>2119</v>
      </c>
      <c r="D6" s="24" t="s">
        <v>2120</v>
      </c>
      <c r="E6" s="24" t="s">
        <v>2121</v>
      </c>
      <c r="F6" s="25" t="s">
        <v>14</v>
      </c>
      <c r="G6" s="25" t="s">
        <v>14</v>
      </c>
      <c r="H6" s="25" t="s">
        <v>14</v>
      </c>
      <c r="I6" s="24" t="s">
        <v>14</v>
      </c>
    </row>
    <row r="7" ht="18" customHeight="1" spans="1:9" x14ac:dyDescent="0.25">
      <c r="A7" s="29" t="s">
        <v>1166</v>
      </c>
      <c r="B7" s="29"/>
      <c r="C7" s="29"/>
      <c r="D7" s="29"/>
      <c r="E7" s="29"/>
      <c r="F7" s="29"/>
      <c r="G7" s="29"/>
      <c r="H7" s="29"/>
      <c r="I7" s="29"/>
    </row>
    <row r="8" ht="41.8" customHeight="1" spans="1:9" x14ac:dyDescent="0.25">
      <c r="A8" s="23" t="s">
        <v>2122</v>
      </c>
      <c r="B8" s="24" t="s">
        <v>2123</v>
      </c>
      <c r="C8" s="24" t="s">
        <v>2124</v>
      </c>
      <c r="D8" s="24" t="s">
        <v>2125</v>
      </c>
      <c r="E8" s="24" t="s">
        <v>2126</v>
      </c>
      <c r="F8" s="25" t="s">
        <v>14</v>
      </c>
      <c r="G8" s="25" t="s">
        <v>14</v>
      </c>
      <c r="H8" s="25" t="s">
        <v>14</v>
      </c>
      <c r="I8" s="24" t="s">
        <v>2127</v>
      </c>
    </row>
  </sheetData>
  <mergeCells count="3">
    <mergeCell ref="A2:I2"/>
    <mergeCell ref="A5:I5"/>
    <mergeCell ref="A7:I7"/>
  </mergeCells>
  <dataValidations count="3">
    <dataValidation type="list" allowBlank="1" sqref="F3:F4">
      <formula1>"Pass,Fail,N/A"</formula1>
    </dataValidation>
    <dataValidation type="list" allowBlank="1" sqref="F6">
      <formula1>"Pass,Fail,N/A"</formula1>
    </dataValidation>
    <dataValidation type="list" allowBlank="1" sqref="F8">
      <formula1>"Pass,Fail,N/A"</formula1>
    </dataValidation>
  </dataValidation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2128</v>
      </c>
      <c r="B2" s="22"/>
      <c r="C2" s="22"/>
      <c r="D2" s="22"/>
      <c r="E2" s="22"/>
      <c r="F2" s="22"/>
      <c r="G2" s="22"/>
      <c r="H2" s="22"/>
      <c r="I2" s="22"/>
    </row>
    <row r="3" ht="41.8" customHeight="1" spans="1:9" x14ac:dyDescent="0.25">
      <c r="A3" s="23" t="s">
        <v>2129</v>
      </c>
      <c r="B3" s="24" t="s">
        <v>2130</v>
      </c>
      <c r="C3" s="24" t="s">
        <v>2131</v>
      </c>
      <c r="D3" s="24" t="s">
        <v>2132</v>
      </c>
      <c r="E3" s="24" t="s">
        <v>2133</v>
      </c>
      <c r="F3" s="25" t="s">
        <v>14</v>
      </c>
      <c r="G3" s="25" t="s">
        <v>14</v>
      </c>
      <c r="H3" s="25" t="s">
        <v>14</v>
      </c>
      <c r="I3" s="24" t="s">
        <v>14</v>
      </c>
    </row>
    <row r="4" ht="41.8" customHeight="1" spans="1:9" x14ac:dyDescent="0.25">
      <c r="A4" s="26" t="s">
        <v>2134</v>
      </c>
      <c r="B4" s="27" t="s">
        <v>2130</v>
      </c>
      <c r="C4" s="27" t="s">
        <v>2131</v>
      </c>
      <c r="D4" s="27" t="s">
        <v>2135</v>
      </c>
      <c r="E4" s="27" t="s">
        <v>2136</v>
      </c>
      <c r="F4" s="25" t="s">
        <v>14</v>
      </c>
      <c r="G4" s="25" t="s">
        <v>14</v>
      </c>
      <c r="H4" s="25" t="s">
        <v>14</v>
      </c>
      <c r="I4" s="27" t="s">
        <v>14</v>
      </c>
    </row>
    <row r="5" ht="18" customHeight="1" spans="1:9" x14ac:dyDescent="0.25">
      <c r="A5" s="22" t="s">
        <v>2137</v>
      </c>
      <c r="B5" s="22"/>
      <c r="C5" s="22"/>
      <c r="D5" s="22"/>
      <c r="E5" s="22"/>
      <c r="F5" s="22"/>
      <c r="G5" s="22"/>
      <c r="H5" s="22"/>
      <c r="I5" s="22"/>
    </row>
    <row r="6" ht="41.8" customHeight="1" spans="1:9" x14ac:dyDescent="0.25">
      <c r="A6" s="23" t="s">
        <v>2138</v>
      </c>
      <c r="B6" s="24" t="s">
        <v>2139</v>
      </c>
      <c r="C6" s="24" t="s">
        <v>2140</v>
      </c>
      <c r="D6" s="24" t="s">
        <v>2141</v>
      </c>
      <c r="E6" s="24" t="s">
        <v>2142</v>
      </c>
      <c r="F6" s="25" t="s">
        <v>14</v>
      </c>
      <c r="G6" s="25" t="s">
        <v>14</v>
      </c>
      <c r="H6" s="25" t="s">
        <v>14</v>
      </c>
      <c r="I6" s="24" t="s">
        <v>14</v>
      </c>
    </row>
    <row r="7" ht="104.8" customHeight="1" spans="1:9" x14ac:dyDescent="0.25">
      <c r="A7" s="26" t="s">
        <v>2143</v>
      </c>
      <c r="B7" s="27" t="s">
        <v>2139</v>
      </c>
      <c r="C7" s="27" t="s">
        <v>2144</v>
      </c>
      <c r="D7" s="27" t="s">
        <v>2145</v>
      </c>
      <c r="E7" s="27" t="s">
        <v>2146</v>
      </c>
      <c r="F7" s="25" t="s">
        <v>14</v>
      </c>
      <c r="G7" s="25" t="s">
        <v>14</v>
      </c>
      <c r="H7" s="25" t="s">
        <v>14</v>
      </c>
      <c r="I7" s="27" t="s">
        <v>2147</v>
      </c>
    </row>
    <row r="8" ht="18" customHeight="1" spans="1:9" x14ac:dyDescent="0.25">
      <c r="A8" s="22" t="s">
        <v>2148</v>
      </c>
      <c r="B8" s="22"/>
      <c r="C8" s="22"/>
      <c r="D8" s="22"/>
      <c r="E8" s="22"/>
      <c r="F8" s="22"/>
      <c r="G8" s="22"/>
      <c r="H8" s="22"/>
      <c r="I8" s="22"/>
    </row>
    <row r="9" ht="41.8" customHeight="1" spans="1:9" x14ac:dyDescent="0.25">
      <c r="A9" s="23" t="s">
        <v>390</v>
      </c>
      <c r="B9" s="24" t="s">
        <v>2149</v>
      </c>
      <c r="C9" s="24" t="s">
        <v>2150</v>
      </c>
      <c r="D9" s="24" t="s">
        <v>2151</v>
      </c>
      <c r="E9" s="24" t="s">
        <v>2152</v>
      </c>
      <c r="F9" s="25" t="s">
        <v>14</v>
      </c>
      <c r="G9" s="25" t="s">
        <v>14</v>
      </c>
      <c r="H9" s="25" t="s">
        <v>14</v>
      </c>
      <c r="I9" s="24" t="s">
        <v>14</v>
      </c>
    </row>
    <row r="10" ht="18" customHeight="1" spans="1:9" x14ac:dyDescent="0.25">
      <c r="A10" s="22" t="s">
        <v>2153</v>
      </c>
      <c r="B10" s="22"/>
      <c r="C10" s="22"/>
      <c r="D10" s="22"/>
      <c r="E10" s="22"/>
      <c r="F10" s="22"/>
      <c r="G10" s="22"/>
      <c r="H10" s="22"/>
      <c r="I10" s="22"/>
    </row>
    <row r="11" ht="29.2" customHeight="1" spans="1:9" x14ac:dyDescent="0.25">
      <c r="A11" s="23" t="s">
        <v>2154</v>
      </c>
      <c r="B11" s="24" t="s">
        <v>2155</v>
      </c>
      <c r="C11" s="24" t="s">
        <v>2156</v>
      </c>
      <c r="D11" s="24" t="s">
        <v>2157</v>
      </c>
      <c r="E11" s="24" t="s">
        <v>2158</v>
      </c>
      <c r="F11" s="25" t="s">
        <v>14</v>
      </c>
      <c r="G11" s="25" t="s">
        <v>14</v>
      </c>
      <c r="H11" s="25" t="s">
        <v>14</v>
      </c>
      <c r="I11" s="24" t="s">
        <v>2159</v>
      </c>
    </row>
    <row r="12" ht="29.2" customHeight="1" spans="1:9" x14ac:dyDescent="0.25">
      <c r="A12" s="26" t="s">
        <v>2160</v>
      </c>
      <c r="B12" s="27" t="s">
        <v>2155</v>
      </c>
      <c r="C12" s="27" t="s">
        <v>2161</v>
      </c>
      <c r="D12" s="27" t="s">
        <v>2162</v>
      </c>
      <c r="E12" s="27" t="s">
        <v>2163</v>
      </c>
      <c r="F12" s="25" t="s">
        <v>14</v>
      </c>
      <c r="G12" s="25" t="s">
        <v>14</v>
      </c>
      <c r="H12" s="25" t="s">
        <v>14</v>
      </c>
      <c r="I12" s="27" t="s">
        <v>14</v>
      </c>
    </row>
    <row r="13" ht="18" customHeight="1" spans="1:9" x14ac:dyDescent="0.25">
      <c r="A13" s="22" t="s">
        <v>2164</v>
      </c>
      <c r="B13" s="22"/>
      <c r="C13" s="22"/>
      <c r="D13" s="22"/>
      <c r="E13" s="22"/>
      <c r="F13" s="22"/>
      <c r="G13" s="22"/>
      <c r="H13" s="22"/>
      <c r="I13" s="22"/>
    </row>
    <row r="14" ht="41.8" customHeight="1" spans="1:9" x14ac:dyDescent="0.25">
      <c r="A14" s="23" t="s">
        <v>575</v>
      </c>
      <c r="B14" s="24" t="s">
        <v>2165</v>
      </c>
      <c r="C14" s="24" t="s">
        <v>2161</v>
      </c>
      <c r="D14" s="24" t="s">
        <v>2166</v>
      </c>
      <c r="E14" s="24" t="s">
        <v>2167</v>
      </c>
      <c r="F14" s="25" t="s">
        <v>14</v>
      </c>
      <c r="G14" s="25" t="s">
        <v>14</v>
      </c>
      <c r="H14" s="25" t="s">
        <v>14</v>
      </c>
      <c r="I14" s="24" t="s">
        <v>2168</v>
      </c>
    </row>
    <row r="15" ht="18" customHeight="1" spans="1:9" x14ac:dyDescent="0.25">
      <c r="A15" s="22" t="s">
        <v>2169</v>
      </c>
      <c r="B15" s="22"/>
      <c r="C15" s="22"/>
      <c r="D15" s="22"/>
      <c r="E15" s="22"/>
      <c r="F15" s="22"/>
      <c r="G15" s="22"/>
      <c r="H15" s="22"/>
      <c r="I15" s="22"/>
    </row>
    <row r="16" ht="41.8" customHeight="1" spans="1:9" x14ac:dyDescent="0.25">
      <c r="A16" s="23" t="s">
        <v>2170</v>
      </c>
      <c r="B16" s="24" t="s">
        <v>2171</v>
      </c>
      <c r="C16" s="24" t="s">
        <v>2172</v>
      </c>
      <c r="D16" s="24" t="s">
        <v>2173</v>
      </c>
      <c r="E16" s="24" t="s">
        <v>2174</v>
      </c>
      <c r="F16" s="25" t="s">
        <v>14</v>
      </c>
      <c r="G16" s="25" t="s">
        <v>14</v>
      </c>
      <c r="H16" s="25" t="s">
        <v>14</v>
      </c>
      <c r="I16" s="24" t="s">
        <v>2175</v>
      </c>
    </row>
    <row r="17" ht="29.2" customHeight="1" spans="1:9" x14ac:dyDescent="0.25">
      <c r="A17" s="26" t="s">
        <v>2176</v>
      </c>
      <c r="B17" s="27" t="s">
        <v>2171</v>
      </c>
      <c r="C17" s="27" t="s">
        <v>2177</v>
      </c>
      <c r="D17" s="27" t="s">
        <v>2178</v>
      </c>
      <c r="E17" s="27" t="s">
        <v>2179</v>
      </c>
      <c r="F17" s="25" t="s">
        <v>14</v>
      </c>
      <c r="G17" s="25" t="s">
        <v>14</v>
      </c>
      <c r="H17" s="25" t="s">
        <v>14</v>
      </c>
      <c r="I17" s="27" t="s">
        <v>14</v>
      </c>
    </row>
    <row r="18" ht="18" customHeight="1" spans="1:9" x14ac:dyDescent="0.25">
      <c r="A18" s="22" t="s">
        <v>2180</v>
      </c>
      <c r="B18" s="22"/>
      <c r="C18" s="22"/>
      <c r="D18" s="22"/>
      <c r="E18" s="22"/>
      <c r="F18" s="22"/>
      <c r="G18" s="22"/>
      <c r="H18" s="22"/>
      <c r="I18" s="22"/>
    </row>
    <row r="19" ht="41.8" customHeight="1" spans="1:9" x14ac:dyDescent="0.25">
      <c r="A19" s="23" t="s">
        <v>594</v>
      </c>
      <c r="B19" s="24" t="s">
        <v>2181</v>
      </c>
      <c r="C19" s="24" t="s">
        <v>2182</v>
      </c>
      <c r="D19" s="24" t="s">
        <v>2183</v>
      </c>
      <c r="E19" s="24" t="s">
        <v>2184</v>
      </c>
      <c r="F19" s="25" t="s">
        <v>14</v>
      </c>
      <c r="G19" s="25" t="s">
        <v>14</v>
      </c>
      <c r="H19" s="25" t="s">
        <v>14</v>
      </c>
      <c r="I19" s="24" t="s">
        <v>2185</v>
      </c>
    </row>
    <row r="20" ht="18" customHeight="1" spans="1:9" x14ac:dyDescent="0.25">
      <c r="A20" s="22" t="s">
        <v>2186</v>
      </c>
      <c r="B20" s="22"/>
      <c r="C20" s="22"/>
      <c r="D20" s="22"/>
      <c r="E20" s="22"/>
      <c r="F20" s="22"/>
      <c r="G20" s="22"/>
      <c r="H20" s="22"/>
      <c r="I20" s="22"/>
    </row>
    <row r="21" ht="41.8" customHeight="1" spans="1:9" x14ac:dyDescent="0.25">
      <c r="A21" s="23" t="s">
        <v>598</v>
      </c>
      <c r="B21" s="24" t="s">
        <v>2187</v>
      </c>
      <c r="C21" s="24" t="s">
        <v>2188</v>
      </c>
      <c r="D21" s="24" t="s">
        <v>2189</v>
      </c>
      <c r="E21" s="24" t="s">
        <v>2190</v>
      </c>
      <c r="F21" s="25" t="s">
        <v>14</v>
      </c>
      <c r="G21" s="25" t="s">
        <v>14</v>
      </c>
      <c r="H21" s="25" t="s">
        <v>14</v>
      </c>
      <c r="I21" s="24" t="s">
        <v>14</v>
      </c>
    </row>
    <row r="22" ht="18" customHeight="1" spans="1:9" x14ac:dyDescent="0.25">
      <c r="A22" s="22" t="s">
        <v>2191</v>
      </c>
      <c r="B22" s="22"/>
      <c r="C22" s="22"/>
      <c r="D22" s="22"/>
      <c r="E22" s="22"/>
      <c r="F22" s="22"/>
      <c r="G22" s="22"/>
      <c r="H22" s="22"/>
      <c r="I22" s="22"/>
    </row>
    <row r="23" ht="29.2" customHeight="1" spans="1:9" x14ac:dyDescent="0.25">
      <c r="A23" s="23" t="s">
        <v>602</v>
      </c>
      <c r="B23" s="24" t="s">
        <v>2192</v>
      </c>
      <c r="C23" s="24" t="s">
        <v>2193</v>
      </c>
      <c r="D23" s="24" t="s">
        <v>2194</v>
      </c>
      <c r="E23" s="24" t="s">
        <v>2195</v>
      </c>
      <c r="F23" s="25" t="s">
        <v>14</v>
      </c>
      <c r="G23" s="25" t="s">
        <v>14</v>
      </c>
      <c r="H23" s="25" t="s">
        <v>14</v>
      </c>
      <c r="I23" s="24" t="s">
        <v>14</v>
      </c>
    </row>
    <row r="24" ht="18" customHeight="1" spans="1:9" x14ac:dyDescent="0.25">
      <c r="A24" s="22" t="s">
        <v>2196</v>
      </c>
      <c r="B24" s="22"/>
      <c r="C24" s="22"/>
      <c r="D24" s="22"/>
      <c r="E24" s="22"/>
      <c r="F24" s="22"/>
      <c r="G24" s="22"/>
      <c r="H24" s="22"/>
      <c r="I24" s="22"/>
    </row>
    <row r="25" ht="41.8" customHeight="1" spans="1:9" x14ac:dyDescent="0.25">
      <c r="A25" s="23" t="s">
        <v>605</v>
      </c>
      <c r="B25" s="24" t="s">
        <v>2197</v>
      </c>
      <c r="C25" s="24" t="s">
        <v>2198</v>
      </c>
      <c r="D25" s="24" t="s">
        <v>2199</v>
      </c>
      <c r="E25" s="24" t="s">
        <v>2200</v>
      </c>
      <c r="F25" s="25" t="s">
        <v>14</v>
      </c>
      <c r="G25" s="25" t="s">
        <v>14</v>
      </c>
      <c r="H25" s="25" t="s">
        <v>14</v>
      </c>
      <c r="I25" s="24" t="s">
        <v>2201</v>
      </c>
    </row>
    <row r="26" ht="18" customHeight="1" spans="1:9" x14ac:dyDescent="0.25">
      <c r="A26" s="22" t="s">
        <v>2202</v>
      </c>
      <c r="B26" s="22"/>
      <c r="C26" s="22"/>
      <c r="D26" s="22"/>
      <c r="E26" s="22"/>
      <c r="F26" s="22"/>
      <c r="G26" s="22"/>
      <c r="H26" s="22"/>
      <c r="I26" s="22"/>
    </row>
    <row r="27" ht="41.8" customHeight="1" spans="1:9" x14ac:dyDescent="0.25">
      <c r="A27" s="23" t="s">
        <v>608</v>
      </c>
      <c r="B27" s="24" t="s">
        <v>2203</v>
      </c>
      <c r="C27" s="24" t="s">
        <v>2204</v>
      </c>
      <c r="D27" s="24" t="s">
        <v>2205</v>
      </c>
      <c r="E27" s="24" t="s">
        <v>2206</v>
      </c>
      <c r="F27" s="25" t="s">
        <v>14</v>
      </c>
      <c r="G27" s="25" t="s">
        <v>14</v>
      </c>
      <c r="H27" s="25" t="s">
        <v>14</v>
      </c>
      <c r="I27" s="24" t="s">
        <v>14</v>
      </c>
    </row>
    <row r="28" ht="18" customHeight="1" spans="1:9" x14ac:dyDescent="0.25">
      <c r="A28" s="22" t="s">
        <v>2207</v>
      </c>
      <c r="B28" s="22"/>
      <c r="C28" s="22"/>
      <c r="D28" s="22"/>
      <c r="E28" s="22"/>
      <c r="F28" s="22"/>
      <c r="G28" s="22"/>
      <c r="H28" s="22"/>
      <c r="I28" s="22"/>
    </row>
    <row r="29" ht="29.2" customHeight="1" spans="1:9" x14ac:dyDescent="0.25">
      <c r="A29" s="23" t="s">
        <v>611</v>
      </c>
      <c r="B29" s="24" t="s">
        <v>2208</v>
      </c>
      <c r="C29" s="24" t="s">
        <v>2209</v>
      </c>
      <c r="D29" s="24" t="s">
        <v>2210</v>
      </c>
      <c r="E29" s="24" t="s">
        <v>2211</v>
      </c>
      <c r="F29" s="25" t="s">
        <v>14</v>
      </c>
      <c r="G29" s="25" t="s">
        <v>14</v>
      </c>
      <c r="H29" s="25" t="s">
        <v>14</v>
      </c>
      <c r="I29" s="24" t="s">
        <v>2212</v>
      </c>
    </row>
    <row r="30" ht="18" customHeight="1" spans="1:9" x14ac:dyDescent="0.25">
      <c r="A30" s="22" t="s">
        <v>2213</v>
      </c>
      <c r="B30" s="22"/>
      <c r="C30" s="22"/>
      <c r="D30" s="22"/>
      <c r="E30" s="22"/>
      <c r="F30" s="22"/>
      <c r="G30" s="22"/>
      <c r="H30" s="22"/>
      <c r="I30" s="22"/>
    </row>
    <row r="31" ht="41.8" customHeight="1" spans="1:9" x14ac:dyDescent="0.25">
      <c r="A31" s="23" t="s">
        <v>2214</v>
      </c>
      <c r="B31" s="24" t="s">
        <v>2215</v>
      </c>
      <c r="C31" s="24" t="s">
        <v>2216</v>
      </c>
      <c r="D31" s="24" t="s">
        <v>2217</v>
      </c>
      <c r="E31" s="24" t="s">
        <v>2218</v>
      </c>
      <c r="F31" s="25" t="s">
        <v>14</v>
      </c>
      <c r="G31" s="25" t="s">
        <v>14</v>
      </c>
      <c r="H31" s="25" t="s">
        <v>14</v>
      </c>
      <c r="I31" s="24" t="s">
        <v>2219</v>
      </c>
    </row>
    <row r="32" ht="54.4" customHeight="1" spans="1:9" x14ac:dyDescent="0.25">
      <c r="A32" s="26" t="s">
        <v>2220</v>
      </c>
      <c r="B32" s="27" t="s">
        <v>2215</v>
      </c>
      <c r="C32" s="27" t="s">
        <v>2221</v>
      </c>
      <c r="D32" s="27" t="s">
        <v>2222</v>
      </c>
      <c r="E32" s="27" t="s">
        <v>2223</v>
      </c>
      <c r="F32" s="25" t="s">
        <v>14</v>
      </c>
      <c r="G32" s="25" t="s">
        <v>14</v>
      </c>
      <c r="H32" s="25" t="s">
        <v>14</v>
      </c>
      <c r="I32" s="27" t="s">
        <v>14</v>
      </c>
    </row>
    <row r="33" ht="29.2" customHeight="1" spans="1:9" x14ac:dyDescent="0.25">
      <c r="A33" s="23" t="s">
        <v>2224</v>
      </c>
      <c r="B33" s="24" t="s">
        <v>2215</v>
      </c>
      <c r="C33" s="24" t="s">
        <v>2188</v>
      </c>
      <c r="D33" s="24" t="s">
        <v>2225</v>
      </c>
      <c r="E33" s="24" t="s">
        <v>2226</v>
      </c>
      <c r="F33" s="25" t="s">
        <v>14</v>
      </c>
      <c r="G33" s="25" t="s">
        <v>14</v>
      </c>
      <c r="H33" s="25" t="s">
        <v>14</v>
      </c>
      <c r="I33" s="24" t="s">
        <v>14</v>
      </c>
    </row>
    <row r="34" ht="18" customHeight="1" spans="1:9" x14ac:dyDescent="0.25">
      <c r="A34" s="22" t="s">
        <v>2227</v>
      </c>
      <c r="B34" s="22"/>
      <c r="C34" s="22"/>
      <c r="D34" s="22"/>
      <c r="E34" s="22"/>
      <c r="F34" s="22"/>
      <c r="G34" s="22"/>
      <c r="H34" s="22"/>
      <c r="I34" s="22"/>
    </row>
    <row r="35" ht="41.8" customHeight="1" spans="1:9" x14ac:dyDescent="0.25">
      <c r="A35" s="23" t="s">
        <v>2228</v>
      </c>
      <c r="B35" s="24" t="s">
        <v>2229</v>
      </c>
      <c r="C35" s="24" t="s">
        <v>2230</v>
      </c>
      <c r="D35" s="24" t="s">
        <v>2231</v>
      </c>
      <c r="E35" s="24" t="s">
        <v>2232</v>
      </c>
      <c r="F35" s="25" t="s">
        <v>14</v>
      </c>
      <c r="G35" s="25" t="s">
        <v>14</v>
      </c>
      <c r="H35" s="25" t="s">
        <v>14</v>
      </c>
      <c r="I35" s="24" t="s">
        <v>2233</v>
      </c>
    </row>
    <row r="36" ht="29.2" customHeight="1" spans="1:9" x14ac:dyDescent="0.25">
      <c r="A36" s="26" t="s">
        <v>2234</v>
      </c>
      <c r="B36" s="27" t="s">
        <v>2229</v>
      </c>
      <c r="C36" s="27" t="s">
        <v>2235</v>
      </c>
      <c r="D36" s="27" t="s">
        <v>2236</v>
      </c>
      <c r="E36" s="27" t="s">
        <v>2237</v>
      </c>
      <c r="F36" s="25" t="s">
        <v>14</v>
      </c>
      <c r="G36" s="25" t="s">
        <v>14</v>
      </c>
      <c r="H36" s="25" t="s">
        <v>14</v>
      </c>
      <c r="I36" s="27" t="s">
        <v>2238</v>
      </c>
    </row>
    <row r="37" ht="18" customHeight="1" spans="1:9" x14ac:dyDescent="0.25">
      <c r="A37" s="22" t="s">
        <v>2239</v>
      </c>
      <c r="B37" s="22"/>
      <c r="C37" s="22"/>
      <c r="D37" s="22"/>
      <c r="E37" s="22"/>
      <c r="F37" s="22"/>
      <c r="G37" s="22"/>
      <c r="H37" s="22"/>
      <c r="I37" s="22"/>
    </row>
    <row r="38" ht="67" customHeight="1" spans="1:9" x14ac:dyDescent="0.25">
      <c r="A38" s="23" t="s">
        <v>632</v>
      </c>
      <c r="B38" s="24" t="s">
        <v>2240</v>
      </c>
      <c r="C38" s="24" t="s">
        <v>2241</v>
      </c>
      <c r="D38" s="24" t="s">
        <v>2242</v>
      </c>
      <c r="E38" s="24" t="s">
        <v>2243</v>
      </c>
      <c r="F38" s="25" t="s">
        <v>14</v>
      </c>
      <c r="G38" s="25" t="s">
        <v>14</v>
      </c>
      <c r="H38" s="25" t="s">
        <v>14</v>
      </c>
      <c r="I38" s="24" t="s">
        <v>2244</v>
      </c>
    </row>
    <row r="39" ht="18" customHeight="1" spans="1:9" x14ac:dyDescent="0.25">
      <c r="A39" s="22" t="s">
        <v>2245</v>
      </c>
      <c r="B39" s="22"/>
      <c r="C39" s="22"/>
      <c r="D39" s="22"/>
      <c r="E39" s="22"/>
      <c r="F39" s="22"/>
      <c r="G39" s="22"/>
      <c r="H39" s="22"/>
      <c r="I39" s="22"/>
    </row>
    <row r="40" ht="41.8" customHeight="1" spans="1:9" x14ac:dyDescent="0.25">
      <c r="A40" s="23" t="s">
        <v>637</v>
      </c>
      <c r="B40" s="24" t="s">
        <v>2246</v>
      </c>
      <c r="C40" s="24" t="s">
        <v>2247</v>
      </c>
      <c r="D40" s="24" t="s">
        <v>2248</v>
      </c>
      <c r="E40" s="24" t="s">
        <v>2249</v>
      </c>
      <c r="F40" s="25" t="s">
        <v>14</v>
      </c>
      <c r="G40" s="25" t="s">
        <v>14</v>
      </c>
      <c r="H40" s="25" t="s">
        <v>14</v>
      </c>
      <c r="I40" s="24" t="s">
        <v>2250</v>
      </c>
    </row>
    <row r="41" ht="18" customHeight="1" spans="1:9" x14ac:dyDescent="0.25">
      <c r="A41" s="22" t="s">
        <v>2251</v>
      </c>
      <c r="B41" s="22"/>
      <c r="C41" s="22"/>
      <c r="D41" s="22"/>
      <c r="E41" s="22"/>
      <c r="F41" s="22"/>
      <c r="G41" s="22"/>
      <c r="H41" s="22"/>
      <c r="I41" s="22"/>
    </row>
    <row r="42" ht="41.8" customHeight="1" spans="1:9" x14ac:dyDescent="0.25">
      <c r="A42" s="23" t="s">
        <v>641</v>
      </c>
      <c r="B42" s="24" t="s">
        <v>2252</v>
      </c>
      <c r="C42" s="24" t="s">
        <v>2253</v>
      </c>
      <c r="D42" s="24" t="s">
        <v>2254</v>
      </c>
      <c r="E42" s="24" t="s">
        <v>2255</v>
      </c>
      <c r="F42" s="25" t="s">
        <v>14</v>
      </c>
      <c r="G42" s="25" t="s">
        <v>14</v>
      </c>
      <c r="H42" s="25" t="s">
        <v>14</v>
      </c>
      <c r="I42" s="24" t="s">
        <v>2250</v>
      </c>
    </row>
    <row r="43" ht="18" customHeight="1" spans="1:9" x14ac:dyDescent="0.25">
      <c r="A43" s="22" t="s">
        <v>2256</v>
      </c>
      <c r="B43" s="22"/>
      <c r="C43" s="22"/>
      <c r="D43" s="22"/>
      <c r="E43" s="22"/>
      <c r="F43" s="22"/>
      <c r="G43" s="22"/>
      <c r="H43" s="22"/>
      <c r="I43" s="22"/>
    </row>
    <row r="44" ht="15" customHeight="1" spans="1:9" x14ac:dyDescent="0.25">
      <c r="A44" s="28" t="s">
        <v>1005</v>
      </c>
      <c r="B44" s="28"/>
      <c r="C44" s="28"/>
      <c r="D44" s="28"/>
      <c r="E44" s="28"/>
      <c r="F44" s="28"/>
      <c r="G44" s="28"/>
      <c r="H44" s="28"/>
      <c r="I44" s="28"/>
    </row>
    <row r="45" ht="18" customHeight="1" spans="1:9" x14ac:dyDescent="0.25">
      <c r="A45" s="29" t="s">
        <v>1166</v>
      </c>
      <c r="B45" s="29"/>
      <c r="C45" s="29"/>
      <c r="D45" s="29"/>
      <c r="E45" s="29"/>
      <c r="F45" s="29"/>
      <c r="G45" s="29"/>
      <c r="H45" s="29"/>
      <c r="I45" s="29"/>
    </row>
    <row r="46" ht="29.2" customHeight="1" spans="1:9" x14ac:dyDescent="0.25">
      <c r="A46" s="23" t="s">
        <v>2257</v>
      </c>
      <c r="B46" s="24" t="s">
        <v>2258</v>
      </c>
      <c r="C46" s="24" t="s">
        <v>2259</v>
      </c>
      <c r="D46" s="24" t="s">
        <v>2260</v>
      </c>
      <c r="E46" s="24" t="s">
        <v>2261</v>
      </c>
      <c r="F46" s="25" t="s">
        <v>14</v>
      </c>
      <c r="G46" s="25" t="s">
        <v>14</v>
      </c>
      <c r="H46" s="25" t="s">
        <v>14</v>
      </c>
      <c r="I46" s="24" t="s">
        <v>2262</v>
      </c>
    </row>
  </sheetData>
  <mergeCells count="20">
    <mergeCell ref="A2:I2"/>
    <mergeCell ref="A5:I5"/>
    <mergeCell ref="A8:I8"/>
    <mergeCell ref="A10:I10"/>
    <mergeCell ref="A13:I13"/>
    <mergeCell ref="A15:I15"/>
    <mergeCell ref="A18:I18"/>
    <mergeCell ref="A20:I20"/>
    <mergeCell ref="A22:I22"/>
    <mergeCell ref="A24:I24"/>
    <mergeCell ref="A26:I26"/>
    <mergeCell ref="A28:I28"/>
    <mergeCell ref="A30:I30"/>
    <mergeCell ref="A34:I34"/>
    <mergeCell ref="A37:I37"/>
    <mergeCell ref="A39:I39"/>
    <mergeCell ref="A41:I41"/>
    <mergeCell ref="A43:I43"/>
    <mergeCell ref="A44:I44"/>
    <mergeCell ref="A45:I45"/>
  </mergeCells>
  <dataValidations count="18">
    <dataValidation type="list" allowBlank="1" sqref="F11:F12">
      <formula1>"Pass,Fail,N/A"</formula1>
    </dataValidation>
    <dataValidation type="list" allowBlank="1" sqref="F14">
      <formula1>"Pass,Fail,N/A"</formula1>
    </dataValidation>
    <dataValidation type="list" allowBlank="1" sqref="F16:F17">
      <formula1>"Pass,Fail,N/A"</formula1>
    </dataValidation>
    <dataValidation type="list" allowBlank="1" sqref="F19">
      <formula1>"Pass,Fail,N/A"</formula1>
    </dataValidation>
    <dataValidation type="list" allowBlank="1" sqref="F21">
      <formula1>"Pass,Fail,N/A"</formula1>
    </dataValidation>
    <dataValidation type="list" allowBlank="1" sqref="F23">
      <formula1>"Pass,Fail,N/A"</formula1>
    </dataValidation>
    <dataValidation type="list" allowBlank="1" sqref="F25">
      <formula1>"Pass,Fail,N/A"</formula1>
    </dataValidation>
    <dataValidation type="list" allowBlank="1" sqref="F27">
      <formula1>"Pass,Fail,N/A"</formula1>
    </dataValidation>
    <dataValidation type="list" allowBlank="1" sqref="F29">
      <formula1>"Pass,Fail,N/A"</formula1>
    </dataValidation>
    <dataValidation type="list" allowBlank="1" sqref="F3:F4">
      <formula1>"Pass,Fail,N/A"</formula1>
    </dataValidation>
    <dataValidation type="list" allowBlank="1" sqref="F31:F33">
      <formula1>"Pass,Fail,N/A"</formula1>
    </dataValidation>
    <dataValidation type="list" allowBlank="1" sqref="F35:F36">
      <formula1>"Pass,Fail,N/A"</formula1>
    </dataValidation>
    <dataValidation type="list" allowBlank="1" sqref="F38">
      <formula1>"Pass,Fail,N/A"</formula1>
    </dataValidation>
    <dataValidation type="list" allowBlank="1" sqref="F40">
      <formula1>"Pass,Fail,N/A"</formula1>
    </dataValidation>
    <dataValidation type="list" allowBlank="1" sqref="F42">
      <formula1>"Pass,Fail,N/A"</formula1>
    </dataValidation>
    <dataValidation type="list" allowBlank="1" sqref="F46">
      <formula1>"Pass,Fail,N/A"</formula1>
    </dataValidation>
    <dataValidation type="list" allowBlank="1" sqref="F6:F7">
      <formula1>"Pass,Fail,N/A"</formula1>
    </dataValidation>
    <dataValidation type="list" allowBlank="1" sqref="F9">
      <formula1>"Pass,Fail,N/A"</formula1>
    </dataValidation>
  </dataValidation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2263</v>
      </c>
      <c r="B2" s="22"/>
      <c r="C2" s="22"/>
      <c r="D2" s="22"/>
      <c r="E2" s="22"/>
      <c r="F2" s="22"/>
      <c r="G2" s="22"/>
      <c r="H2" s="22"/>
      <c r="I2" s="22"/>
    </row>
    <row r="3" ht="54.4" customHeight="1" spans="1:9" x14ac:dyDescent="0.25">
      <c r="A3" s="23" t="s">
        <v>2264</v>
      </c>
      <c r="B3" s="24" t="s">
        <v>2265</v>
      </c>
      <c r="C3" s="24" t="s">
        <v>2266</v>
      </c>
      <c r="D3" s="24" t="s">
        <v>2267</v>
      </c>
      <c r="E3" s="24" t="s">
        <v>2268</v>
      </c>
      <c r="F3" s="25" t="s">
        <v>14</v>
      </c>
      <c r="G3" s="25" t="s">
        <v>14</v>
      </c>
      <c r="H3" s="25" t="s">
        <v>14</v>
      </c>
      <c r="I3" s="24" t="s">
        <v>14</v>
      </c>
    </row>
    <row r="4" ht="29.2" customHeight="1" spans="1:9" x14ac:dyDescent="0.25">
      <c r="A4" s="26" t="s">
        <v>2269</v>
      </c>
      <c r="B4" s="27" t="s">
        <v>2265</v>
      </c>
      <c r="C4" s="27" t="s">
        <v>2270</v>
      </c>
      <c r="D4" s="27" t="s">
        <v>2271</v>
      </c>
      <c r="E4" s="27" t="s">
        <v>2272</v>
      </c>
      <c r="F4" s="25" t="s">
        <v>14</v>
      </c>
      <c r="G4" s="25" t="s">
        <v>14</v>
      </c>
      <c r="H4" s="25" t="s">
        <v>14</v>
      </c>
      <c r="I4" s="27" t="s">
        <v>14</v>
      </c>
    </row>
    <row r="5" ht="18" customHeight="1" spans="1:9" x14ac:dyDescent="0.25">
      <c r="A5" s="22" t="s">
        <v>2273</v>
      </c>
      <c r="B5" s="22"/>
      <c r="C5" s="22"/>
      <c r="D5" s="22"/>
      <c r="E5" s="22"/>
      <c r="F5" s="22"/>
      <c r="G5" s="22"/>
      <c r="H5" s="22"/>
      <c r="I5" s="22"/>
    </row>
    <row r="6" ht="54.4" customHeight="1" spans="1:9" x14ac:dyDescent="0.25">
      <c r="A6" s="23" t="s">
        <v>2274</v>
      </c>
      <c r="B6" s="24" t="s">
        <v>2275</v>
      </c>
      <c r="C6" s="24" t="s">
        <v>2276</v>
      </c>
      <c r="D6" s="24" t="s">
        <v>2277</v>
      </c>
      <c r="E6" s="24" t="s">
        <v>2278</v>
      </c>
      <c r="F6" s="25" t="s">
        <v>14</v>
      </c>
      <c r="G6" s="25" t="s">
        <v>14</v>
      </c>
      <c r="H6" s="25" t="s">
        <v>14</v>
      </c>
      <c r="I6" s="24" t="s">
        <v>14</v>
      </c>
    </row>
    <row r="7" ht="41.8" customHeight="1" spans="1:9" x14ac:dyDescent="0.25">
      <c r="A7" s="26" t="s">
        <v>2279</v>
      </c>
      <c r="B7" s="27" t="s">
        <v>2280</v>
      </c>
      <c r="C7" s="27" t="s">
        <v>2281</v>
      </c>
      <c r="D7" s="27" t="s">
        <v>2282</v>
      </c>
      <c r="E7" s="27" t="s">
        <v>2283</v>
      </c>
      <c r="F7" s="25" t="s">
        <v>14</v>
      </c>
      <c r="G7" s="25" t="s">
        <v>14</v>
      </c>
      <c r="H7" s="25" t="s">
        <v>14</v>
      </c>
      <c r="I7" s="27" t="s">
        <v>2284</v>
      </c>
    </row>
    <row r="8" ht="41.8" customHeight="1" spans="1:9" x14ac:dyDescent="0.25">
      <c r="A8" s="23" t="s">
        <v>2285</v>
      </c>
      <c r="B8" s="24" t="s">
        <v>2286</v>
      </c>
      <c r="C8" s="24" t="s">
        <v>2287</v>
      </c>
      <c r="D8" s="24" t="s">
        <v>2288</v>
      </c>
      <c r="E8" s="24" t="s">
        <v>2289</v>
      </c>
      <c r="F8" s="25" t="s">
        <v>14</v>
      </c>
      <c r="G8" s="25" t="s">
        <v>14</v>
      </c>
      <c r="H8" s="25" t="s">
        <v>14</v>
      </c>
      <c r="I8" s="24" t="s">
        <v>2290</v>
      </c>
    </row>
    <row r="9" ht="29.2" customHeight="1" spans="1:9" x14ac:dyDescent="0.25">
      <c r="A9" s="26" t="s">
        <v>2291</v>
      </c>
      <c r="B9" s="27" t="s">
        <v>2280</v>
      </c>
      <c r="C9" s="27" t="s">
        <v>2292</v>
      </c>
      <c r="D9" s="27" t="s">
        <v>2293</v>
      </c>
      <c r="E9" s="27" t="s">
        <v>2294</v>
      </c>
      <c r="F9" s="25" t="s">
        <v>14</v>
      </c>
      <c r="G9" s="25" t="s">
        <v>14</v>
      </c>
      <c r="H9" s="25" t="s">
        <v>14</v>
      </c>
      <c r="I9" s="27" t="s">
        <v>14</v>
      </c>
    </row>
    <row r="10" ht="18" customHeight="1" spans="1:9" x14ac:dyDescent="0.25">
      <c r="A10" s="22" t="s">
        <v>2295</v>
      </c>
      <c r="B10" s="22"/>
      <c r="C10" s="22"/>
      <c r="D10" s="22"/>
      <c r="E10" s="22"/>
      <c r="F10" s="22"/>
      <c r="G10" s="22"/>
      <c r="H10" s="22"/>
      <c r="I10" s="22"/>
    </row>
    <row r="11" ht="41.8" customHeight="1" spans="1:9" x14ac:dyDescent="0.25">
      <c r="A11" s="23" t="s">
        <v>2296</v>
      </c>
      <c r="B11" s="24" t="s">
        <v>2297</v>
      </c>
      <c r="C11" s="24" t="s">
        <v>2298</v>
      </c>
      <c r="D11" s="24" t="s">
        <v>2299</v>
      </c>
      <c r="E11" s="24" t="s">
        <v>2300</v>
      </c>
      <c r="F11" s="25" t="s">
        <v>14</v>
      </c>
      <c r="G11" s="25" t="s">
        <v>14</v>
      </c>
      <c r="H11" s="25" t="s">
        <v>14</v>
      </c>
      <c r="I11" s="24" t="s">
        <v>14</v>
      </c>
    </row>
    <row r="12" ht="41.8" customHeight="1" spans="1:9" x14ac:dyDescent="0.25">
      <c r="A12" s="26" t="s">
        <v>2301</v>
      </c>
      <c r="B12" s="27" t="s">
        <v>2302</v>
      </c>
      <c r="C12" s="27" t="s">
        <v>2303</v>
      </c>
      <c r="D12" s="27" t="s">
        <v>2098</v>
      </c>
      <c r="E12" s="27" t="s">
        <v>2304</v>
      </c>
      <c r="F12" s="25" t="s">
        <v>14</v>
      </c>
      <c r="G12" s="25" t="s">
        <v>14</v>
      </c>
      <c r="H12" s="25" t="s">
        <v>14</v>
      </c>
      <c r="I12" s="27" t="s">
        <v>14</v>
      </c>
    </row>
    <row r="13" ht="18" customHeight="1" spans="1:9" x14ac:dyDescent="0.25">
      <c r="A13" s="22" t="s">
        <v>2305</v>
      </c>
      <c r="B13" s="22"/>
      <c r="C13" s="22"/>
      <c r="D13" s="22"/>
      <c r="E13" s="22"/>
      <c r="F13" s="22"/>
      <c r="G13" s="22"/>
      <c r="H13" s="22"/>
      <c r="I13" s="22"/>
    </row>
    <row r="14" ht="79.6" customHeight="1" spans="1:9" x14ac:dyDescent="0.25">
      <c r="A14" s="23" t="s">
        <v>2306</v>
      </c>
      <c r="B14" s="24" t="s">
        <v>2307</v>
      </c>
      <c r="C14" s="24" t="s">
        <v>2308</v>
      </c>
      <c r="D14" s="24" t="s">
        <v>2309</v>
      </c>
      <c r="E14" s="24" t="s">
        <v>2310</v>
      </c>
      <c r="F14" s="25" t="s">
        <v>14</v>
      </c>
      <c r="G14" s="25" t="s">
        <v>14</v>
      </c>
      <c r="H14" s="25" t="s">
        <v>14</v>
      </c>
      <c r="I14" s="24" t="s">
        <v>2311</v>
      </c>
    </row>
    <row r="15" ht="29.2" customHeight="1" spans="1:9" x14ac:dyDescent="0.25">
      <c r="A15" s="26" t="s">
        <v>2312</v>
      </c>
      <c r="B15" s="27" t="s">
        <v>2307</v>
      </c>
      <c r="C15" s="27" t="s">
        <v>2313</v>
      </c>
      <c r="D15" s="27" t="s">
        <v>2314</v>
      </c>
      <c r="E15" s="27" t="s">
        <v>2315</v>
      </c>
      <c r="F15" s="25" t="s">
        <v>14</v>
      </c>
      <c r="G15" s="25" t="s">
        <v>14</v>
      </c>
      <c r="H15" s="25" t="s">
        <v>14</v>
      </c>
      <c r="I15" s="27" t="s">
        <v>14</v>
      </c>
    </row>
    <row r="16" ht="18" customHeight="1" spans="1:9" x14ac:dyDescent="0.25">
      <c r="A16" s="22" t="s">
        <v>2316</v>
      </c>
      <c r="B16" s="22"/>
      <c r="C16" s="22"/>
      <c r="D16" s="22"/>
      <c r="E16" s="22"/>
      <c r="F16" s="22"/>
      <c r="G16" s="22"/>
      <c r="H16" s="22"/>
      <c r="I16" s="22"/>
    </row>
    <row r="17" ht="41.8" customHeight="1" spans="1:9" x14ac:dyDescent="0.25">
      <c r="A17" s="23" t="s">
        <v>2317</v>
      </c>
      <c r="B17" s="24" t="s">
        <v>2318</v>
      </c>
      <c r="C17" s="24" t="s">
        <v>2319</v>
      </c>
      <c r="D17" s="24" t="s">
        <v>2320</v>
      </c>
      <c r="E17" s="24" t="s">
        <v>2321</v>
      </c>
      <c r="F17" s="25" t="s">
        <v>14</v>
      </c>
      <c r="G17" s="25" t="s">
        <v>14</v>
      </c>
      <c r="H17" s="25" t="s">
        <v>14</v>
      </c>
      <c r="I17" s="24" t="s">
        <v>2322</v>
      </c>
    </row>
    <row r="18" ht="54.4" customHeight="1" spans="1:9" x14ac:dyDescent="0.25">
      <c r="A18" s="26" t="s">
        <v>2323</v>
      </c>
      <c r="B18" s="27" t="s">
        <v>2324</v>
      </c>
      <c r="C18" s="27" t="s">
        <v>2325</v>
      </c>
      <c r="D18" s="27" t="s">
        <v>2326</v>
      </c>
      <c r="E18" s="27" t="s">
        <v>2327</v>
      </c>
      <c r="F18" s="25" t="s">
        <v>14</v>
      </c>
      <c r="G18" s="25" t="s">
        <v>14</v>
      </c>
      <c r="H18" s="25" t="s">
        <v>14</v>
      </c>
      <c r="I18" s="27" t="s">
        <v>2328</v>
      </c>
    </row>
    <row r="19" ht="41.8" customHeight="1" spans="1:9" x14ac:dyDescent="0.25">
      <c r="A19" s="23" t="s">
        <v>2329</v>
      </c>
      <c r="B19" s="24" t="s">
        <v>2330</v>
      </c>
      <c r="C19" s="24" t="s">
        <v>2331</v>
      </c>
      <c r="D19" s="24" t="s">
        <v>2332</v>
      </c>
      <c r="E19" s="24" t="s">
        <v>2333</v>
      </c>
      <c r="F19" s="25" t="s">
        <v>14</v>
      </c>
      <c r="G19" s="25" t="s">
        <v>14</v>
      </c>
      <c r="H19" s="25" t="s">
        <v>14</v>
      </c>
      <c r="I19" s="24" t="s">
        <v>14</v>
      </c>
    </row>
    <row r="20" ht="18" customHeight="1" spans="1:9" x14ac:dyDescent="0.25">
      <c r="A20" s="22" t="s">
        <v>2334</v>
      </c>
      <c r="B20" s="22"/>
      <c r="C20" s="22"/>
      <c r="D20" s="22"/>
      <c r="E20" s="22"/>
      <c r="F20" s="22"/>
      <c r="G20" s="22"/>
      <c r="H20" s="22"/>
      <c r="I20" s="22"/>
    </row>
    <row r="21" ht="41.8" customHeight="1" spans="1:9" x14ac:dyDescent="0.25">
      <c r="A21" s="23" t="s">
        <v>2335</v>
      </c>
      <c r="B21" s="24" t="s">
        <v>2336</v>
      </c>
      <c r="C21" s="24" t="s">
        <v>2337</v>
      </c>
      <c r="D21" s="24" t="s">
        <v>2338</v>
      </c>
      <c r="E21" s="24" t="s">
        <v>2339</v>
      </c>
      <c r="F21" s="25" t="s">
        <v>14</v>
      </c>
      <c r="G21" s="25" t="s">
        <v>14</v>
      </c>
      <c r="H21" s="25" t="s">
        <v>14</v>
      </c>
      <c r="I21" s="24" t="s">
        <v>14</v>
      </c>
    </row>
    <row r="22" ht="29.2" customHeight="1" spans="1:9" x14ac:dyDescent="0.25">
      <c r="A22" s="26" t="s">
        <v>2340</v>
      </c>
      <c r="B22" s="27" t="s">
        <v>2336</v>
      </c>
      <c r="C22" s="27" t="s">
        <v>2341</v>
      </c>
      <c r="D22" s="27" t="s">
        <v>2342</v>
      </c>
      <c r="E22" s="27" t="s">
        <v>2343</v>
      </c>
      <c r="F22" s="25" t="s">
        <v>14</v>
      </c>
      <c r="G22" s="25" t="s">
        <v>14</v>
      </c>
      <c r="H22" s="25" t="s">
        <v>14</v>
      </c>
      <c r="I22" s="27" t="s">
        <v>14</v>
      </c>
    </row>
    <row r="23" ht="18" customHeight="1" spans="1:9" x14ac:dyDescent="0.25">
      <c r="A23" s="22" t="s">
        <v>2344</v>
      </c>
      <c r="B23" s="22"/>
      <c r="C23" s="22"/>
      <c r="D23" s="22"/>
      <c r="E23" s="22"/>
      <c r="F23" s="22"/>
      <c r="G23" s="22"/>
      <c r="H23" s="22"/>
      <c r="I23" s="22"/>
    </row>
    <row r="24" ht="67" customHeight="1" spans="1:9" x14ac:dyDescent="0.25">
      <c r="A24" s="23" t="s">
        <v>568</v>
      </c>
      <c r="B24" s="24" t="s">
        <v>2345</v>
      </c>
      <c r="C24" s="24" t="s">
        <v>2346</v>
      </c>
      <c r="D24" s="24" t="s">
        <v>2347</v>
      </c>
      <c r="E24" s="24" t="s">
        <v>2348</v>
      </c>
      <c r="F24" s="25" t="s">
        <v>14</v>
      </c>
      <c r="G24" s="25" t="s">
        <v>14</v>
      </c>
      <c r="H24" s="25" t="s">
        <v>14</v>
      </c>
      <c r="I24" s="24" t="s">
        <v>2349</v>
      </c>
    </row>
    <row r="25" ht="18" customHeight="1" spans="1:9" x14ac:dyDescent="0.25">
      <c r="A25" s="22" t="s">
        <v>2350</v>
      </c>
      <c r="B25" s="22"/>
      <c r="C25" s="22"/>
      <c r="D25" s="22"/>
      <c r="E25" s="22"/>
      <c r="F25" s="22"/>
      <c r="G25" s="22"/>
      <c r="H25" s="22"/>
      <c r="I25" s="22"/>
    </row>
    <row r="26" ht="41.8" customHeight="1" spans="1:9" x14ac:dyDescent="0.25">
      <c r="A26" s="23" t="s">
        <v>2351</v>
      </c>
      <c r="B26" s="24" t="s">
        <v>2352</v>
      </c>
      <c r="C26" s="24" t="s">
        <v>2353</v>
      </c>
      <c r="D26" s="24" t="s">
        <v>2354</v>
      </c>
      <c r="E26" s="24" t="s">
        <v>2355</v>
      </c>
      <c r="F26" s="25" t="s">
        <v>14</v>
      </c>
      <c r="G26" s="25" t="s">
        <v>14</v>
      </c>
      <c r="H26" s="25" t="s">
        <v>14</v>
      </c>
      <c r="I26" s="24" t="s">
        <v>421</v>
      </c>
    </row>
    <row r="27" ht="41.8" customHeight="1" spans="1:9" x14ac:dyDescent="0.25">
      <c r="A27" s="26" t="s">
        <v>2356</v>
      </c>
      <c r="B27" s="27" t="s">
        <v>2357</v>
      </c>
      <c r="C27" s="27" t="s">
        <v>2358</v>
      </c>
      <c r="D27" s="27" t="s">
        <v>2359</v>
      </c>
      <c r="E27" s="27" t="s">
        <v>2360</v>
      </c>
      <c r="F27" s="25" t="s">
        <v>14</v>
      </c>
      <c r="G27" s="25" t="s">
        <v>14</v>
      </c>
      <c r="H27" s="25" t="s">
        <v>14</v>
      </c>
      <c r="I27" s="27" t="s">
        <v>14</v>
      </c>
    </row>
    <row r="28" ht="104.8" customHeight="1" spans="1:9" x14ac:dyDescent="0.25">
      <c r="A28" s="23" t="s">
        <v>2361</v>
      </c>
      <c r="B28" s="24" t="s">
        <v>2362</v>
      </c>
      <c r="C28" s="24" t="s">
        <v>2363</v>
      </c>
      <c r="D28" s="24" t="s">
        <v>2364</v>
      </c>
      <c r="E28" s="24" t="s">
        <v>2365</v>
      </c>
      <c r="F28" s="25" t="s">
        <v>14</v>
      </c>
      <c r="G28" s="25" t="s">
        <v>14</v>
      </c>
      <c r="H28" s="25" t="s">
        <v>14</v>
      </c>
      <c r="I28" s="24" t="s">
        <v>2366</v>
      </c>
    </row>
    <row r="29" ht="18" customHeight="1" spans="1:9" x14ac:dyDescent="0.25">
      <c r="A29" s="22" t="s">
        <v>2367</v>
      </c>
      <c r="B29" s="22"/>
      <c r="C29" s="22"/>
      <c r="D29" s="22"/>
      <c r="E29" s="22"/>
      <c r="F29" s="22"/>
      <c r="G29" s="22"/>
      <c r="H29" s="22"/>
      <c r="I29" s="22"/>
    </row>
    <row r="30" ht="41.8" customHeight="1" spans="1:9" x14ac:dyDescent="0.25">
      <c r="A30" s="23" t="s">
        <v>583</v>
      </c>
      <c r="B30" s="24" t="s">
        <v>2368</v>
      </c>
      <c r="C30" s="24" t="s">
        <v>2369</v>
      </c>
      <c r="D30" s="24" t="s">
        <v>2370</v>
      </c>
      <c r="E30" s="24" t="s">
        <v>2371</v>
      </c>
      <c r="F30" s="25" t="s">
        <v>14</v>
      </c>
      <c r="G30" s="25" t="s">
        <v>14</v>
      </c>
      <c r="H30" s="25" t="s">
        <v>14</v>
      </c>
      <c r="I30" s="24" t="s">
        <v>14</v>
      </c>
    </row>
    <row r="31" ht="18" customHeight="1" spans="1:9" x14ac:dyDescent="0.25">
      <c r="A31" s="22" t="s">
        <v>2372</v>
      </c>
      <c r="B31" s="22"/>
      <c r="C31" s="22"/>
      <c r="D31" s="22"/>
      <c r="E31" s="22"/>
      <c r="F31" s="22"/>
      <c r="G31" s="22"/>
      <c r="H31" s="22"/>
      <c r="I31" s="22"/>
    </row>
    <row r="32" ht="54.4" customHeight="1" spans="1:9" x14ac:dyDescent="0.25">
      <c r="A32" s="23" t="s">
        <v>2373</v>
      </c>
      <c r="B32" s="24" t="s">
        <v>2374</v>
      </c>
      <c r="C32" s="24" t="s">
        <v>2375</v>
      </c>
      <c r="D32" s="24" t="s">
        <v>2376</v>
      </c>
      <c r="E32" s="24" t="s">
        <v>2377</v>
      </c>
      <c r="F32" s="25" t="s">
        <v>14</v>
      </c>
      <c r="G32" s="25" t="s">
        <v>14</v>
      </c>
      <c r="H32" s="25" t="s">
        <v>14</v>
      </c>
      <c r="I32" s="24" t="s">
        <v>14</v>
      </c>
    </row>
    <row r="33" ht="41.8" customHeight="1" spans="1:9" x14ac:dyDescent="0.25">
      <c r="A33" s="26" t="s">
        <v>2378</v>
      </c>
      <c r="B33" s="27" t="s">
        <v>2379</v>
      </c>
      <c r="C33" s="27" t="s">
        <v>2380</v>
      </c>
      <c r="D33" s="27" t="s">
        <v>2381</v>
      </c>
      <c r="E33" s="27" t="s">
        <v>2382</v>
      </c>
      <c r="F33" s="25" t="s">
        <v>14</v>
      </c>
      <c r="G33" s="25" t="s">
        <v>14</v>
      </c>
      <c r="H33" s="25" t="s">
        <v>14</v>
      </c>
      <c r="I33" s="27" t="s">
        <v>14</v>
      </c>
    </row>
  </sheetData>
  <mergeCells count="10">
    <mergeCell ref="A2:I2"/>
    <mergeCell ref="A5:I5"/>
    <mergeCell ref="A10:I10"/>
    <mergeCell ref="A13:I13"/>
    <mergeCell ref="A16:I16"/>
    <mergeCell ref="A20:I20"/>
    <mergeCell ref="A23:I23"/>
    <mergeCell ref="A25:I25"/>
    <mergeCell ref="A29:I29"/>
    <mergeCell ref="A31:I31"/>
  </mergeCells>
  <dataValidations count="10">
    <dataValidation type="list" allowBlank="1" sqref="F11:F12">
      <formula1>"Pass,Fail,N/A"</formula1>
    </dataValidation>
    <dataValidation type="list" allowBlank="1" sqref="F14:F15">
      <formula1>"Pass,Fail,N/A"</formula1>
    </dataValidation>
    <dataValidation type="list" allowBlank="1" sqref="F17:F19">
      <formula1>"Pass,Fail,N/A"</formula1>
    </dataValidation>
    <dataValidation type="list" allowBlank="1" sqref="F21:F22">
      <formula1>"Pass,Fail,N/A"</formula1>
    </dataValidation>
    <dataValidation type="list" allowBlank="1" sqref="F24">
      <formula1>"Pass,Fail,N/A"</formula1>
    </dataValidation>
    <dataValidation type="list" allowBlank="1" sqref="F26:F28">
      <formula1>"Pass,Fail,N/A"</formula1>
    </dataValidation>
    <dataValidation type="list" allowBlank="1" sqref="F3:F4">
      <formula1>"Pass,Fail,N/A"</formula1>
    </dataValidation>
    <dataValidation type="list" allowBlank="1" sqref="F30">
      <formula1>"Pass,Fail,N/A"</formula1>
    </dataValidation>
    <dataValidation type="list" allowBlank="1" sqref="F32:F33">
      <formula1>"Pass,Fail,N/A"</formula1>
    </dataValidation>
    <dataValidation type="list" allowBlank="1" sqref="F6:F9">
      <formula1>"Pass,Fail,N/A"</formula1>
    </dataValidation>
  </dataValidation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2383</v>
      </c>
      <c r="B2" s="22"/>
      <c r="C2" s="22"/>
      <c r="D2" s="22"/>
      <c r="E2" s="22"/>
      <c r="F2" s="22"/>
      <c r="G2" s="22"/>
      <c r="H2" s="22"/>
      <c r="I2" s="22"/>
    </row>
    <row r="3" ht="29.2" customHeight="1" spans="1:9" x14ac:dyDescent="0.25">
      <c r="A3" s="23" t="s">
        <v>2384</v>
      </c>
      <c r="B3" s="24" t="s">
        <v>2385</v>
      </c>
      <c r="C3" s="24" t="s">
        <v>2386</v>
      </c>
      <c r="D3" s="24" t="s">
        <v>2387</v>
      </c>
      <c r="E3" s="24" t="s">
        <v>2388</v>
      </c>
      <c r="F3" s="25" t="s">
        <v>14</v>
      </c>
      <c r="G3" s="25" t="s">
        <v>14</v>
      </c>
      <c r="H3" s="25" t="s">
        <v>14</v>
      </c>
      <c r="I3" s="24" t="s">
        <v>14</v>
      </c>
    </row>
    <row r="4" ht="29.2" customHeight="1" spans="1:9" x14ac:dyDescent="0.25">
      <c r="A4" s="26" t="s">
        <v>2389</v>
      </c>
      <c r="B4" s="27" t="s">
        <v>2385</v>
      </c>
      <c r="C4" s="27" t="s">
        <v>2390</v>
      </c>
      <c r="D4" s="27" t="s">
        <v>2391</v>
      </c>
      <c r="E4" s="27" t="s">
        <v>2392</v>
      </c>
      <c r="F4" s="25" t="s">
        <v>14</v>
      </c>
      <c r="G4" s="25" t="s">
        <v>14</v>
      </c>
      <c r="H4" s="25" t="s">
        <v>14</v>
      </c>
      <c r="I4" s="27" t="s">
        <v>14</v>
      </c>
    </row>
    <row r="5" ht="18" customHeight="1" spans="1:9" x14ac:dyDescent="0.25">
      <c r="A5" s="22" t="s">
        <v>2393</v>
      </c>
      <c r="B5" s="22"/>
      <c r="C5" s="22"/>
      <c r="D5" s="22"/>
      <c r="E5" s="22"/>
      <c r="F5" s="22"/>
      <c r="G5" s="22"/>
      <c r="H5" s="22"/>
      <c r="I5" s="22"/>
    </row>
    <row r="6" ht="41.8" customHeight="1" spans="1:9" x14ac:dyDescent="0.25">
      <c r="A6" s="23" t="s">
        <v>281</v>
      </c>
      <c r="B6" s="24" t="s">
        <v>2394</v>
      </c>
      <c r="C6" s="24" t="s">
        <v>2395</v>
      </c>
      <c r="D6" s="24" t="s">
        <v>2396</v>
      </c>
      <c r="E6" s="24" t="s">
        <v>2397</v>
      </c>
      <c r="F6" s="25" t="s">
        <v>14</v>
      </c>
      <c r="G6" s="25" t="s">
        <v>14</v>
      </c>
      <c r="H6" s="25" t="s">
        <v>14</v>
      </c>
      <c r="I6" s="24" t="s">
        <v>14</v>
      </c>
    </row>
    <row r="7" ht="18" customHeight="1" spans="1:9" x14ac:dyDescent="0.25">
      <c r="A7" s="22" t="s">
        <v>2398</v>
      </c>
      <c r="B7" s="22"/>
      <c r="C7" s="22"/>
      <c r="D7" s="22"/>
      <c r="E7" s="22"/>
      <c r="F7" s="22"/>
      <c r="G7" s="22"/>
      <c r="H7" s="22"/>
      <c r="I7" s="22"/>
    </row>
    <row r="8" ht="41.8" customHeight="1" spans="1:9" x14ac:dyDescent="0.25">
      <c r="A8" s="23" t="s">
        <v>285</v>
      </c>
      <c r="B8" s="24" t="s">
        <v>2399</v>
      </c>
      <c r="C8" s="24" t="s">
        <v>2390</v>
      </c>
      <c r="D8" s="24" t="s">
        <v>2400</v>
      </c>
      <c r="E8" s="24" t="s">
        <v>2401</v>
      </c>
      <c r="F8" s="25" t="s">
        <v>14</v>
      </c>
      <c r="G8" s="25" t="s">
        <v>14</v>
      </c>
      <c r="H8" s="25" t="s">
        <v>14</v>
      </c>
      <c r="I8" s="24" t="s">
        <v>14</v>
      </c>
    </row>
    <row r="9" ht="18" customHeight="1" spans="1:9" x14ac:dyDescent="0.25">
      <c r="A9" s="22" t="s">
        <v>2402</v>
      </c>
      <c r="B9" s="22"/>
      <c r="C9" s="22"/>
      <c r="D9" s="22"/>
      <c r="E9" s="22"/>
      <c r="F9" s="22"/>
      <c r="G9" s="22"/>
      <c r="H9" s="22"/>
      <c r="I9" s="22"/>
    </row>
    <row r="10" ht="54.4" customHeight="1" spans="1:9" x14ac:dyDescent="0.25">
      <c r="A10" s="23" t="s">
        <v>294</v>
      </c>
      <c r="B10" s="24" t="s">
        <v>2403</v>
      </c>
      <c r="C10" s="24" t="s">
        <v>2404</v>
      </c>
      <c r="D10" s="24" t="s">
        <v>2405</v>
      </c>
      <c r="E10" s="24" t="s">
        <v>2406</v>
      </c>
      <c r="F10" s="25" t="s">
        <v>14</v>
      </c>
      <c r="G10" s="25" t="s">
        <v>14</v>
      </c>
      <c r="H10" s="25" t="s">
        <v>14</v>
      </c>
      <c r="I10" s="24" t="s">
        <v>14</v>
      </c>
    </row>
    <row r="11" ht="18" customHeight="1" spans="1:9" x14ac:dyDescent="0.25">
      <c r="A11" s="22" t="s">
        <v>2407</v>
      </c>
      <c r="B11" s="22"/>
      <c r="C11" s="22"/>
      <c r="D11" s="22"/>
      <c r="E11" s="22"/>
      <c r="F11" s="22"/>
      <c r="G11" s="22"/>
      <c r="H11" s="22"/>
      <c r="I11" s="22"/>
    </row>
    <row r="12" ht="29.2" customHeight="1" spans="1:9" x14ac:dyDescent="0.25">
      <c r="A12" s="23" t="s">
        <v>328</v>
      </c>
      <c r="B12" s="24" t="s">
        <v>2408</v>
      </c>
      <c r="C12" s="24" t="s">
        <v>2409</v>
      </c>
      <c r="D12" s="24" t="s">
        <v>2410</v>
      </c>
      <c r="E12" s="24" t="s">
        <v>2411</v>
      </c>
      <c r="F12" s="25" t="s">
        <v>14</v>
      </c>
      <c r="G12" s="25" t="s">
        <v>14</v>
      </c>
      <c r="H12" s="25" t="s">
        <v>14</v>
      </c>
      <c r="I12" s="24" t="s">
        <v>14</v>
      </c>
    </row>
    <row r="13" ht="18" customHeight="1" spans="1:9" x14ac:dyDescent="0.25">
      <c r="A13" s="22" t="s">
        <v>2412</v>
      </c>
      <c r="B13" s="22"/>
      <c r="C13" s="22"/>
      <c r="D13" s="22"/>
      <c r="E13" s="22"/>
      <c r="F13" s="22"/>
      <c r="G13" s="22"/>
      <c r="H13" s="22"/>
      <c r="I13" s="22"/>
    </row>
    <row r="14" ht="41.8" customHeight="1" spans="1:9" x14ac:dyDescent="0.25">
      <c r="A14" s="23" t="s">
        <v>359</v>
      </c>
      <c r="B14" s="24" t="s">
        <v>2413</v>
      </c>
      <c r="C14" s="24" t="s">
        <v>2414</v>
      </c>
      <c r="D14" s="24" t="s">
        <v>2415</v>
      </c>
      <c r="E14" s="24" t="s">
        <v>2416</v>
      </c>
      <c r="F14" s="25" t="s">
        <v>14</v>
      </c>
      <c r="G14" s="25" t="s">
        <v>14</v>
      </c>
      <c r="H14" s="25" t="s">
        <v>14</v>
      </c>
      <c r="I14" s="24" t="s">
        <v>14</v>
      </c>
    </row>
    <row r="15" ht="18" customHeight="1" spans="1:9" x14ac:dyDescent="0.25">
      <c r="A15" s="22" t="s">
        <v>2417</v>
      </c>
      <c r="B15" s="22"/>
      <c r="C15" s="22"/>
      <c r="D15" s="22"/>
      <c r="E15" s="22"/>
      <c r="F15" s="22"/>
      <c r="G15" s="22"/>
      <c r="H15" s="22"/>
      <c r="I15" s="22"/>
    </row>
    <row r="16" ht="41.8" customHeight="1" spans="1:9" x14ac:dyDescent="0.25">
      <c r="A16" s="23" t="s">
        <v>363</v>
      </c>
      <c r="B16" s="24" t="s">
        <v>2418</v>
      </c>
      <c r="C16" s="24" t="s">
        <v>2419</v>
      </c>
      <c r="D16" s="24" t="s">
        <v>2420</v>
      </c>
      <c r="E16" s="24" t="s">
        <v>2421</v>
      </c>
      <c r="F16" s="25" t="s">
        <v>14</v>
      </c>
      <c r="G16" s="25" t="s">
        <v>14</v>
      </c>
      <c r="H16" s="25" t="s">
        <v>14</v>
      </c>
      <c r="I16" s="24" t="s">
        <v>2422</v>
      </c>
    </row>
    <row r="17" ht="18" customHeight="1" spans="1:9" x14ac:dyDescent="0.25">
      <c r="A17" s="22" t="s">
        <v>2423</v>
      </c>
      <c r="B17" s="22"/>
      <c r="C17" s="22"/>
      <c r="D17" s="22"/>
      <c r="E17" s="22"/>
      <c r="F17" s="22"/>
      <c r="G17" s="22"/>
      <c r="H17" s="22"/>
      <c r="I17" s="22"/>
    </row>
    <row r="18" ht="29.2" customHeight="1" spans="1:9" x14ac:dyDescent="0.25">
      <c r="A18" s="23" t="s">
        <v>366</v>
      </c>
      <c r="B18" s="24" t="s">
        <v>2424</v>
      </c>
      <c r="C18" s="24" t="s">
        <v>2425</v>
      </c>
      <c r="D18" s="24" t="s">
        <v>2426</v>
      </c>
      <c r="E18" s="24" t="s">
        <v>2427</v>
      </c>
      <c r="F18" s="25" t="s">
        <v>14</v>
      </c>
      <c r="G18" s="25" t="s">
        <v>14</v>
      </c>
      <c r="H18" s="25" t="s">
        <v>14</v>
      </c>
      <c r="I18" s="24" t="s">
        <v>14</v>
      </c>
    </row>
    <row r="19" ht="18" customHeight="1" spans="1:9" x14ac:dyDescent="0.25">
      <c r="A19" s="22" t="s">
        <v>2428</v>
      </c>
      <c r="B19" s="22"/>
      <c r="C19" s="22"/>
      <c r="D19" s="22"/>
      <c r="E19" s="22"/>
      <c r="F19" s="22"/>
      <c r="G19" s="22"/>
      <c r="H19" s="22"/>
      <c r="I19" s="22"/>
    </row>
    <row r="20" ht="41.8" customHeight="1" spans="1:9" x14ac:dyDescent="0.25">
      <c r="A20" s="23" t="s">
        <v>369</v>
      </c>
      <c r="B20" s="24" t="s">
        <v>2429</v>
      </c>
      <c r="C20" s="24" t="s">
        <v>2430</v>
      </c>
      <c r="D20" s="24" t="s">
        <v>2426</v>
      </c>
      <c r="E20" s="24" t="s">
        <v>2431</v>
      </c>
      <c r="F20" s="25" t="s">
        <v>14</v>
      </c>
      <c r="G20" s="25" t="s">
        <v>14</v>
      </c>
      <c r="H20" s="25" t="s">
        <v>14</v>
      </c>
      <c r="I20" s="24" t="s">
        <v>14</v>
      </c>
    </row>
    <row r="21" ht="18" customHeight="1" spans="1:9" x14ac:dyDescent="0.25">
      <c r="A21" s="22" t="s">
        <v>2432</v>
      </c>
      <c r="B21" s="22"/>
      <c r="C21" s="22"/>
      <c r="D21" s="22"/>
      <c r="E21" s="22"/>
      <c r="F21" s="22"/>
      <c r="G21" s="22"/>
      <c r="H21" s="22"/>
      <c r="I21" s="22"/>
    </row>
    <row r="22" ht="29.2" customHeight="1" spans="1:9" x14ac:dyDescent="0.25">
      <c r="A22" s="23" t="s">
        <v>372</v>
      </c>
      <c r="B22" s="24" t="s">
        <v>2433</v>
      </c>
      <c r="C22" s="24" t="s">
        <v>2434</v>
      </c>
      <c r="D22" s="24" t="s">
        <v>2426</v>
      </c>
      <c r="E22" s="24" t="s">
        <v>2435</v>
      </c>
      <c r="F22" s="25" t="s">
        <v>14</v>
      </c>
      <c r="G22" s="25" t="s">
        <v>14</v>
      </c>
      <c r="H22" s="25" t="s">
        <v>14</v>
      </c>
      <c r="I22" s="24" t="s">
        <v>14</v>
      </c>
    </row>
    <row r="23" ht="18" customHeight="1" spans="1:9" x14ac:dyDescent="0.25">
      <c r="A23" s="22" t="s">
        <v>2436</v>
      </c>
      <c r="B23" s="22"/>
      <c r="C23" s="22"/>
      <c r="D23" s="22"/>
      <c r="E23" s="22"/>
      <c r="F23" s="22"/>
      <c r="G23" s="22"/>
      <c r="H23" s="22"/>
      <c r="I23" s="22"/>
    </row>
    <row r="24" ht="41.8" customHeight="1" spans="1:9" x14ac:dyDescent="0.25">
      <c r="A24" s="23" t="s">
        <v>375</v>
      </c>
      <c r="B24" s="24" t="s">
        <v>2437</v>
      </c>
      <c r="C24" s="24" t="s">
        <v>2438</v>
      </c>
      <c r="D24" s="24" t="s">
        <v>2439</v>
      </c>
      <c r="E24" s="24" t="s">
        <v>2440</v>
      </c>
      <c r="F24" s="25" t="s">
        <v>14</v>
      </c>
      <c r="G24" s="25" t="s">
        <v>14</v>
      </c>
      <c r="H24" s="25" t="s">
        <v>14</v>
      </c>
      <c r="I24" s="24" t="s">
        <v>14</v>
      </c>
    </row>
    <row r="25" ht="18" customHeight="1" spans="1:9" x14ac:dyDescent="0.25">
      <c r="A25" s="22" t="s">
        <v>2441</v>
      </c>
      <c r="B25" s="22"/>
      <c r="C25" s="22"/>
      <c r="D25" s="22"/>
      <c r="E25" s="22"/>
      <c r="F25" s="22"/>
      <c r="G25" s="22"/>
      <c r="H25" s="22"/>
      <c r="I25" s="22"/>
    </row>
    <row r="26" ht="29.2" customHeight="1" spans="1:9" x14ac:dyDescent="0.25">
      <c r="A26" s="23" t="s">
        <v>378</v>
      </c>
      <c r="B26" s="24" t="s">
        <v>2442</v>
      </c>
      <c r="C26" s="24" t="s">
        <v>2443</v>
      </c>
      <c r="D26" s="24" t="s">
        <v>2444</v>
      </c>
      <c r="E26" s="24" t="s">
        <v>2445</v>
      </c>
      <c r="F26" s="25" t="s">
        <v>14</v>
      </c>
      <c r="G26" s="25" t="s">
        <v>14</v>
      </c>
      <c r="H26" s="25" t="s">
        <v>14</v>
      </c>
      <c r="I26" s="24" t="s">
        <v>14</v>
      </c>
    </row>
    <row r="27" ht="18" customHeight="1" spans="1:9" x14ac:dyDescent="0.25">
      <c r="A27" s="22" t="s">
        <v>2446</v>
      </c>
      <c r="B27" s="22"/>
      <c r="C27" s="22"/>
      <c r="D27" s="22"/>
      <c r="E27" s="22"/>
      <c r="F27" s="22"/>
      <c r="G27" s="22"/>
      <c r="H27" s="22"/>
      <c r="I27" s="22"/>
    </row>
    <row r="28" ht="29.2" customHeight="1" spans="1:9" x14ac:dyDescent="0.25">
      <c r="A28" s="23" t="s">
        <v>2447</v>
      </c>
      <c r="B28" s="24" t="s">
        <v>2448</v>
      </c>
      <c r="C28" s="24" t="s">
        <v>2449</v>
      </c>
      <c r="D28" s="24" t="s">
        <v>2450</v>
      </c>
      <c r="E28" s="24" t="s">
        <v>2451</v>
      </c>
      <c r="F28" s="25" t="s">
        <v>14</v>
      </c>
      <c r="G28" s="25" t="s">
        <v>14</v>
      </c>
      <c r="H28" s="25" t="s">
        <v>14</v>
      </c>
      <c r="I28" s="24" t="s">
        <v>14</v>
      </c>
    </row>
    <row r="29" ht="29.2" customHeight="1" spans="1:9" x14ac:dyDescent="0.25">
      <c r="A29" s="26" t="s">
        <v>2452</v>
      </c>
      <c r="B29" s="27" t="s">
        <v>2453</v>
      </c>
      <c r="C29" s="27" t="s">
        <v>2454</v>
      </c>
      <c r="D29" s="27" t="s">
        <v>2455</v>
      </c>
      <c r="E29" s="27" t="s">
        <v>2456</v>
      </c>
      <c r="F29" s="25" t="s">
        <v>14</v>
      </c>
      <c r="G29" s="25" t="s">
        <v>14</v>
      </c>
      <c r="H29" s="25" t="s">
        <v>14</v>
      </c>
      <c r="I29" s="27" t="s">
        <v>14</v>
      </c>
    </row>
    <row r="30" ht="18" customHeight="1" spans="1:9" x14ac:dyDescent="0.25">
      <c r="A30" s="22" t="s">
        <v>2457</v>
      </c>
      <c r="B30" s="22"/>
      <c r="C30" s="22"/>
      <c r="D30" s="22"/>
      <c r="E30" s="22"/>
      <c r="F30" s="22"/>
      <c r="G30" s="22"/>
      <c r="H30" s="22"/>
      <c r="I30" s="22"/>
    </row>
    <row r="31" ht="29.2" customHeight="1" spans="1:9" x14ac:dyDescent="0.25">
      <c r="A31" s="23" t="s">
        <v>2458</v>
      </c>
      <c r="B31" s="24" t="s">
        <v>2459</v>
      </c>
      <c r="C31" s="24" t="s">
        <v>2460</v>
      </c>
      <c r="D31" s="24" t="s">
        <v>2461</v>
      </c>
      <c r="E31" s="24" t="s">
        <v>2462</v>
      </c>
      <c r="F31" s="25" t="s">
        <v>14</v>
      </c>
      <c r="G31" s="25" t="s">
        <v>14</v>
      </c>
      <c r="H31" s="25" t="s">
        <v>14</v>
      </c>
      <c r="I31" s="24" t="s">
        <v>14</v>
      </c>
    </row>
    <row r="32" ht="41.8" customHeight="1" spans="1:9" x14ac:dyDescent="0.25">
      <c r="A32" s="26" t="s">
        <v>2463</v>
      </c>
      <c r="B32" s="27" t="s">
        <v>2464</v>
      </c>
      <c r="C32" s="27" t="s">
        <v>2465</v>
      </c>
      <c r="D32" s="27" t="s">
        <v>2466</v>
      </c>
      <c r="E32" s="27" t="s">
        <v>2467</v>
      </c>
      <c r="F32" s="25" t="s">
        <v>14</v>
      </c>
      <c r="G32" s="25" t="s">
        <v>14</v>
      </c>
      <c r="H32" s="25" t="s">
        <v>14</v>
      </c>
      <c r="I32" s="27" t="s">
        <v>14</v>
      </c>
    </row>
    <row r="33" ht="18" customHeight="1" spans="1:9" x14ac:dyDescent="0.25">
      <c r="A33" s="22" t="s">
        <v>2468</v>
      </c>
      <c r="B33" s="22"/>
      <c r="C33" s="22"/>
      <c r="D33" s="22"/>
      <c r="E33" s="22"/>
      <c r="F33" s="22"/>
      <c r="G33" s="22"/>
      <c r="H33" s="22"/>
      <c r="I33" s="22"/>
    </row>
    <row r="34" ht="41.8" customHeight="1" spans="1:9" x14ac:dyDescent="0.25">
      <c r="A34" s="23" t="s">
        <v>401</v>
      </c>
      <c r="B34" s="24" t="s">
        <v>2469</v>
      </c>
      <c r="C34" s="24" t="s">
        <v>2470</v>
      </c>
      <c r="D34" s="24" t="s">
        <v>2471</v>
      </c>
      <c r="E34" s="24" t="s">
        <v>2472</v>
      </c>
      <c r="F34" s="25" t="s">
        <v>14</v>
      </c>
      <c r="G34" s="25" t="s">
        <v>14</v>
      </c>
      <c r="H34" s="25" t="s">
        <v>14</v>
      </c>
      <c r="I34" s="24" t="s">
        <v>14</v>
      </c>
    </row>
    <row r="35" ht="18" customHeight="1" spans="1:9" x14ac:dyDescent="0.25">
      <c r="A35" s="22" t="s">
        <v>2473</v>
      </c>
      <c r="B35" s="22"/>
      <c r="C35" s="22"/>
      <c r="D35" s="22"/>
      <c r="E35" s="22"/>
      <c r="F35" s="22"/>
      <c r="G35" s="22"/>
      <c r="H35" s="22"/>
      <c r="I35" s="22"/>
    </row>
    <row r="36" ht="41.8" customHeight="1" spans="1:9" x14ac:dyDescent="0.25">
      <c r="A36" s="23" t="s">
        <v>2474</v>
      </c>
      <c r="B36" s="24" t="s">
        <v>2475</v>
      </c>
      <c r="C36" s="24" t="s">
        <v>2390</v>
      </c>
      <c r="D36" s="24" t="s">
        <v>2476</v>
      </c>
      <c r="E36" s="24" t="s">
        <v>2477</v>
      </c>
      <c r="F36" s="25" t="s">
        <v>14</v>
      </c>
      <c r="G36" s="25" t="s">
        <v>14</v>
      </c>
      <c r="H36" s="25" t="s">
        <v>14</v>
      </c>
      <c r="I36" s="24" t="s">
        <v>14</v>
      </c>
    </row>
    <row r="37" ht="41.8" customHeight="1" spans="1:9" x14ac:dyDescent="0.25">
      <c r="A37" s="26" t="s">
        <v>2478</v>
      </c>
      <c r="B37" s="27" t="s">
        <v>2479</v>
      </c>
      <c r="C37" s="27" t="s">
        <v>2259</v>
      </c>
      <c r="D37" s="27" t="s">
        <v>2480</v>
      </c>
      <c r="E37" s="27" t="s">
        <v>2481</v>
      </c>
      <c r="F37" s="25" t="s">
        <v>14</v>
      </c>
      <c r="G37" s="25" t="s">
        <v>14</v>
      </c>
      <c r="H37" s="25" t="s">
        <v>14</v>
      </c>
      <c r="I37" s="27" t="s">
        <v>14</v>
      </c>
    </row>
    <row r="38" ht="18" customHeight="1" spans="1:9" x14ac:dyDescent="0.25">
      <c r="A38" s="22" t="s">
        <v>2482</v>
      </c>
      <c r="B38" s="22"/>
      <c r="C38" s="22"/>
      <c r="D38" s="22"/>
      <c r="E38" s="22"/>
      <c r="F38" s="22"/>
      <c r="G38" s="22"/>
      <c r="H38" s="22"/>
      <c r="I38" s="22"/>
    </row>
    <row r="39" ht="41.8" customHeight="1" spans="1:9" x14ac:dyDescent="0.25">
      <c r="A39" s="23" t="s">
        <v>784</v>
      </c>
      <c r="B39" s="24" t="s">
        <v>2483</v>
      </c>
      <c r="C39" s="24" t="s">
        <v>2484</v>
      </c>
      <c r="D39" s="24" t="s">
        <v>2485</v>
      </c>
      <c r="E39" s="24" t="s">
        <v>2486</v>
      </c>
      <c r="F39" s="25" t="s">
        <v>14</v>
      </c>
      <c r="G39" s="25" t="s">
        <v>14</v>
      </c>
      <c r="H39" s="25" t="s">
        <v>14</v>
      </c>
      <c r="I39" s="24" t="s">
        <v>14</v>
      </c>
    </row>
    <row r="40" ht="18" customHeight="1" spans="1:9" x14ac:dyDescent="0.25">
      <c r="A40" s="22" t="s">
        <v>2487</v>
      </c>
      <c r="B40" s="22"/>
      <c r="C40" s="22"/>
      <c r="D40" s="22"/>
      <c r="E40" s="22"/>
      <c r="F40" s="22"/>
      <c r="G40" s="22"/>
      <c r="H40" s="22"/>
      <c r="I40" s="22"/>
    </row>
    <row r="41" ht="29.2" customHeight="1" spans="1:9" x14ac:dyDescent="0.25">
      <c r="A41" s="23" t="s">
        <v>787</v>
      </c>
      <c r="B41" s="24" t="s">
        <v>2488</v>
      </c>
      <c r="C41" s="24" t="s">
        <v>2489</v>
      </c>
      <c r="D41" s="24" t="s">
        <v>2490</v>
      </c>
      <c r="E41" s="24" t="s">
        <v>2491</v>
      </c>
      <c r="F41" s="25" t="s">
        <v>14</v>
      </c>
      <c r="G41" s="25" t="s">
        <v>14</v>
      </c>
      <c r="H41" s="25" t="s">
        <v>14</v>
      </c>
      <c r="I41" s="24" t="s">
        <v>14</v>
      </c>
    </row>
    <row r="42" ht="18" customHeight="1" spans="1:9" x14ac:dyDescent="0.25">
      <c r="A42" s="22" t="s">
        <v>2492</v>
      </c>
      <c r="B42" s="22"/>
      <c r="C42" s="22"/>
      <c r="D42" s="22"/>
      <c r="E42" s="22"/>
      <c r="F42" s="22"/>
      <c r="G42" s="22"/>
      <c r="H42" s="22"/>
      <c r="I42" s="22"/>
    </row>
    <row r="43" ht="29.2" customHeight="1" spans="1:9" x14ac:dyDescent="0.25">
      <c r="A43" s="23" t="s">
        <v>790</v>
      </c>
      <c r="B43" s="24" t="s">
        <v>2493</v>
      </c>
      <c r="C43" s="24" t="s">
        <v>2494</v>
      </c>
      <c r="D43" s="24" t="s">
        <v>2495</v>
      </c>
      <c r="E43" s="24" t="s">
        <v>2496</v>
      </c>
      <c r="F43" s="25" t="s">
        <v>14</v>
      </c>
      <c r="G43" s="25" t="s">
        <v>14</v>
      </c>
      <c r="H43" s="25" t="s">
        <v>14</v>
      </c>
      <c r="I43" s="24" t="s">
        <v>14</v>
      </c>
    </row>
    <row r="44" ht="18" customHeight="1" spans="1:9" x14ac:dyDescent="0.25">
      <c r="A44" s="22" t="s">
        <v>2497</v>
      </c>
      <c r="B44" s="22"/>
      <c r="C44" s="22"/>
      <c r="D44" s="22"/>
      <c r="E44" s="22"/>
      <c r="F44" s="22"/>
      <c r="G44" s="22"/>
      <c r="H44" s="22"/>
      <c r="I44" s="22"/>
    </row>
    <row r="45" ht="29.2" customHeight="1" spans="1:9" x14ac:dyDescent="0.25">
      <c r="A45" s="23" t="s">
        <v>793</v>
      </c>
      <c r="B45" s="24" t="s">
        <v>2498</v>
      </c>
      <c r="C45" s="24" t="s">
        <v>2499</v>
      </c>
      <c r="D45" s="24" t="s">
        <v>2500</v>
      </c>
      <c r="E45" s="24" t="s">
        <v>2501</v>
      </c>
      <c r="F45" s="25" t="s">
        <v>14</v>
      </c>
      <c r="G45" s="25" t="s">
        <v>14</v>
      </c>
      <c r="H45" s="25" t="s">
        <v>14</v>
      </c>
      <c r="I45" s="24" t="s">
        <v>14</v>
      </c>
    </row>
    <row r="46" ht="18" customHeight="1" spans="1:9" x14ac:dyDescent="0.25">
      <c r="A46" s="22" t="s">
        <v>2502</v>
      </c>
      <c r="B46" s="22"/>
      <c r="C46" s="22"/>
      <c r="D46" s="22"/>
      <c r="E46" s="22"/>
      <c r="F46" s="22"/>
      <c r="G46" s="22"/>
      <c r="H46" s="22"/>
      <c r="I46" s="22"/>
    </row>
    <row r="47" ht="29.2" customHeight="1" spans="1:9" x14ac:dyDescent="0.25">
      <c r="A47" s="23" t="s">
        <v>812</v>
      </c>
      <c r="B47" s="24" t="s">
        <v>2503</v>
      </c>
      <c r="C47" s="24" t="s">
        <v>2504</v>
      </c>
      <c r="D47" s="24" t="s">
        <v>2505</v>
      </c>
      <c r="E47" s="24" t="s">
        <v>2506</v>
      </c>
      <c r="F47" s="25" t="s">
        <v>14</v>
      </c>
      <c r="G47" s="25" t="s">
        <v>14</v>
      </c>
      <c r="H47" s="25" t="s">
        <v>14</v>
      </c>
      <c r="I47" s="24" t="s">
        <v>2507</v>
      </c>
    </row>
    <row r="48" ht="18" customHeight="1" spans="1:9" x14ac:dyDescent="0.25">
      <c r="A48" s="22" t="s">
        <v>2508</v>
      </c>
      <c r="B48" s="22"/>
      <c r="C48" s="22"/>
      <c r="D48" s="22"/>
      <c r="E48" s="22"/>
      <c r="F48" s="22"/>
      <c r="G48" s="22"/>
      <c r="H48" s="22"/>
      <c r="I48" s="22"/>
    </row>
    <row r="49" ht="29.2" customHeight="1" spans="1:9" x14ac:dyDescent="0.25">
      <c r="A49" s="23" t="s">
        <v>815</v>
      </c>
      <c r="B49" s="24" t="s">
        <v>2509</v>
      </c>
      <c r="C49" s="24" t="s">
        <v>2510</v>
      </c>
      <c r="D49" s="24" t="s">
        <v>2511</v>
      </c>
      <c r="E49" s="24" t="s">
        <v>2512</v>
      </c>
      <c r="F49" s="25" t="s">
        <v>14</v>
      </c>
      <c r="G49" s="25" t="s">
        <v>14</v>
      </c>
      <c r="H49" s="25" t="s">
        <v>14</v>
      </c>
      <c r="I49" s="24" t="s">
        <v>14</v>
      </c>
    </row>
    <row r="50" ht="18" customHeight="1" spans="1:9" x14ac:dyDescent="0.25">
      <c r="A50" s="22" t="s">
        <v>2513</v>
      </c>
      <c r="B50" s="22"/>
      <c r="C50" s="22"/>
      <c r="D50" s="22"/>
      <c r="E50" s="22"/>
      <c r="F50" s="22"/>
      <c r="G50" s="22"/>
      <c r="H50" s="22"/>
      <c r="I50" s="22"/>
    </row>
    <row r="51" ht="29.2" customHeight="1" spans="1:9" x14ac:dyDescent="0.25">
      <c r="A51" s="23" t="s">
        <v>818</v>
      </c>
      <c r="B51" s="24" t="s">
        <v>2514</v>
      </c>
      <c r="C51" s="24" t="s">
        <v>2515</v>
      </c>
      <c r="D51" s="24" t="s">
        <v>2516</v>
      </c>
      <c r="E51" s="24" t="s">
        <v>2517</v>
      </c>
      <c r="F51" s="25" t="s">
        <v>14</v>
      </c>
      <c r="G51" s="25" t="s">
        <v>14</v>
      </c>
      <c r="H51" s="25" t="s">
        <v>14</v>
      </c>
      <c r="I51" s="24" t="s">
        <v>2507</v>
      </c>
    </row>
    <row r="52" ht="18" customHeight="1" spans="1:9" x14ac:dyDescent="0.25">
      <c r="A52" s="22" t="s">
        <v>2518</v>
      </c>
      <c r="B52" s="22"/>
      <c r="C52" s="22"/>
      <c r="D52" s="22"/>
      <c r="E52" s="22"/>
      <c r="F52" s="22"/>
      <c r="G52" s="22"/>
      <c r="H52" s="22"/>
      <c r="I52" s="22"/>
    </row>
    <row r="53" ht="29.2" customHeight="1" spans="1:9" x14ac:dyDescent="0.25">
      <c r="A53" s="23" t="s">
        <v>822</v>
      </c>
      <c r="B53" s="24" t="s">
        <v>2519</v>
      </c>
      <c r="C53" s="24" t="s">
        <v>2520</v>
      </c>
      <c r="D53" s="24" t="s">
        <v>2521</v>
      </c>
      <c r="E53" s="24" t="s">
        <v>2522</v>
      </c>
      <c r="F53" s="25" t="s">
        <v>14</v>
      </c>
      <c r="G53" s="25" t="s">
        <v>14</v>
      </c>
      <c r="H53" s="25" t="s">
        <v>14</v>
      </c>
      <c r="I53" s="24" t="s">
        <v>14</v>
      </c>
    </row>
    <row r="54" ht="18" customHeight="1" spans="1:9" x14ac:dyDescent="0.25">
      <c r="A54" s="22" t="s">
        <v>2523</v>
      </c>
      <c r="B54" s="22"/>
      <c r="C54" s="22"/>
      <c r="D54" s="22"/>
      <c r="E54" s="22"/>
      <c r="F54" s="22"/>
      <c r="G54" s="22"/>
      <c r="H54" s="22"/>
      <c r="I54" s="22"/>
    </row>
    <row r="55" ht="29.2" customHeight="1" spans="1:9" x14ac:dyDescent="0.25">
      <c r="A55" s="23" t="s">
        <v>825</v>
      </c>
      <c r="B55" s="24" t="s">
        <v>2524</v>
      </c>
      <c r="C55" s="24" t="s">
        <v>2525</v>
      </c>
      <c r="D55" s="24" t="s">
        <v>2526</v>
      </c>
      <c r="E55" s="24" t="s">
        <v>2527</v>
      </c>
      <c r="F55" s="25" t="s">
        <v>14</v>
      </c>
      <c r="G55" s="25" t="s">
        <v>14</v>
      </c>
      <c r="H55" s="25" t="s">
        <v>14</v>
      </c>
      <c r="I55" s="24" t="s">
        <v>14</v>
      </c>
    </row>
    <row r="56" ht="18" customHeight="1" spans="1:9" x14ac:dyDescent="0.25">
      <c r="A56" s="22" t="s">
        <v>2528</v>
      </c>
      <c r="B56" s="22"/>
      <c r="C56" s="22"/>
      <c r="D56" s="22"/>
      <c r="E56" s="22"/>
      <c r="F56" s="22"/>
      <c r="G56" s="22"/>
      <c r="H56" s="22"/>
      <c r="I56" s="22"/>
    </row>
    <row r="57" ht="29.2" customHeight="1" spans="1:9" x14ac:dyDescent="0.25">
      <c r="A57" s="23" t="s">
        <v>828</v>
      </c>
      <c r="B57" s="24" t="s">
        <v>2529</v>
      </c>
      <c r="C57" s="24" t="s">
        <v>2530</v>
      </c>
      <c r="D57" s="24" t="s">
        <v>2531</v>
      </c>
      <c r="E57" s="24" t="s">
        <v>2532</v>
      </c>
      <c r="F57" s="25" t="s">
        <v>14</v>
      </c>
      <c r="G57" s="25" t="s">
        <v>14</v>
      </c>
      <c r="H57" s="25" t="s">
        <v>14</v>
      </c>
      <c r="I57" s="24" t="s">
        <v>2533</v>
      </c>
    </row>
    <row r="58" ht="18" customHeight="1" spans="1:9" x14ac:dyDescent="0.25">
      <c r="A58" s="22" t="s">
        <v>2534</v>
      </c>
      <c r="B58" s="22"/>
      <c r="C58" s="22"/>
      <c r="D58" s="22"/>
      <c r="E58" s="22"/>
      <c r="F58" s="22"/>
      <c r="G58" s="22"/>
      <c r="H58" s="22"/>
      <c r="I58" s="22"/>
    </row>
    <row r="59" ht="29.2" customHeight="1" spans="1:9" x14ac:dyDescent="0.25">
      <c r="A59" s="23" t="s">
        <v>832</v>
      </c>
      <c r="B59" s="24" t="s">
        <v>2535</v>
      </c>
      <c r="C59" s="24" t="s">
        <v>2536</v>
      </c>
      <c r="D59" s="24" t="s">
        <v>2537</v>
      </c>
      <c r="E59" s="24" t="s">
        <v>2538</v>
      </c>
      <c r="F59" s="25" t="s">
        <v>14</v>
      </c>
      <c r="G59" s="25" t="s">
        <v>14</v>
      </c>
      <c r="H59" s="25" t="s">
        <v>14</v>
      </c>
      <c r="I59" s="24" t="s">
        <v>14</v>
      </c>
    </row>
    <row r="60" ht="18" customHeight="1" spans="1:9" x14ac:dyDescent="0.25">
      <c r="A60" s="22" t="s">
        <v>2539</v>
      </c>
      <c r="B60" s="22"/>
      <c r="C60" s="22"/>
      <c r="D60" s="22"/>
      <c r="E60" s="22"/>
      <c r="F60" s="22"/>
      <c r="G60" s="22"/>
      <c r="H60" s="22"/>
      <c r="I60" s="22"/>
    </row>
    <row r="61" ht="29.2" customHeight="1" spans="1:9" x14ac:dyDescent="0.25">
      <c r="A61" s="23" t="s">
        <v>896</v>
      </c>
      <c r="B61" s="24" t="s">
        <v>2540</v>
      </c>
      <c r="C61" s="24" t="s">
        <v>2131</v>
      </c>
      <c r="D61" s="24" t="s">
        <v>2541</v>
      </c>
      <c r="E61" s="24" t="s">
        <v>2542</v>
      </c>
      <c r="F61" s="25" t="s">
        <v>14</v>
      </c>
      <c r="G61" s="25" t="s">
        <v>14</v>
      </c>
      <c r="H61" s="25" t="s">
        <v>14</v>
      </c>
      <c r="I61" s="24" t="s">
        <v>14</v>
      </c>
    </row>
    <row r="62" ht="18" customHeight="1" spans="1:9" x14ac:dyDescent="0.25">
      <c r="A62" s="22" t="s">
        <v>2543</v>
      </c>
      <c r="B62" s="22"/>
      <c r="C62" s="22"/>
      <c r="D62" s="22"/>
      <c r="E62" s="22"/>
      <c r="F62" s="22"/>
      <c r="G62" s="22"/>
      <c r="H62" s="22"/>
      <c r="I62" s="22"/>
    </row>
    <row r="63" ht="41.8" customHeight="1" spans="1:9" x14ac:dyDescent="0.25">
      <c r="A63" s="23" t="s">
        <v>899</v>
      </c>
      <c r="B63" s="24" t="s">
        <v>2544</v>
      </c>
      <c r="C63" s="24" t="s">
        <v>2545</v>
      </c>
      <c r="D63" s="24" t="s">
        <v>2546</v>
      </c>
      <c r="E63" s="24" t="s">
        <v>2547</v>
      </c>
      <c r="F63" s="25" t="s">
        <v>14</v>
      </c>
      <c r="G63" s="25" t="s">
        <v>14</v>
      </c>
      <c r="H63" s="25" t="s">
        <v>14</v>
      </c>
      <c r="I63" s="24" t="s">
        <v>14</v>
      </c>
    </row>
    <row r="64" ht="18" customHeight="1" spans="1:9" x14ac:dyDescent="0.25">
      <c r="A64" s="22" t="s">
        <v>2548</v>
      </c>
      <c r="B64" s="22"/>
      <c r="C64" s="22"/>
      <c r="D64" s="22"/>
      <c r="E64" s="22"/>
      <c r="F64" s="22"/>
      <c r="G64" s="22"/>
      <c r="H64" s="22"/>
      <c r="I64" s="22"/>
    </row>
    <row r="65" ht="41.8" customHeight="1" spans="1:9" x14ac:dyDescent="0.25">
      <c r="A65" s="23" t="s">
        <v>902</v>
      </c>
      <c r="B65" s="24" t="s">
        <v>2549</v>
      </c>
      <c r="C65" s="24" t="s">
        <v>2550</v>
      </c>
      <c r="D65" s="24" t="s">
        <v>2551</v>
      </c>
      <c r="E65" s="24" t="s">
        <v>2552</v>
      </c>
      <c r="F65" s="25" t="s">
        <v>14</v>
      </c>
      <c r="G65" s="25" t="s">
        <v>14</v>
      </c>
      <c r="H65" s="25" t="s">
        <v>14</v>
      </c>
      <c r="I65" s="24" t="s">
        <v>2553</v>
      </c>
    </row>
    <row r="66" ht="18" customHeight="1" spans="1:9" x14ac:dyDescent="0.25">
      <c r="A66" s="29" t="s">
        <v>1166</v>
      </c>
      <c r="B66" s="29"/>
      <c r="C66" s="29"/>
      <c r="D66" s="29"/>
      <c r="E66" s="29"/>
      <c r="F66" s="29"/>
      <c r="G66" s="29"/>
      <c r="H66" s="29"/>
      <c r="I66" s="29"/>
    </row>
    <row r="67" ht="29.2" customHeight="1" spans="1:9" x14ac:dyDescent="0.25">
      <c r="A67" s="23" t="s">
        <v>2554</v>
      </c>
      <c r="B67" s="24" t="s">
        <v>2555</v>
      </c>
      <c r="C67" s="24" t="s">
        <v>2556</v>
      </c>
      <c r="D67" s="24" t="s">
        <v>2557</v>
      </c>
      <c r="E67" s="24" t="s">
        <v>2558</v>
      </c>
      <c r="F67" s="25" t="s">
        <v>14</v>
      </c>
      <c r="G67" s="25" t="s">
        <v>14</v>
      </c>
      <c r="H67" s="25" t="s">
        <v>14</v>
      </c>
      <c r="I67" s="24" t="s">
        <v>2559</v>
      </c>
    </row>
  </sheetData>
  <mergeCells count="31">
    <mergeCell ref="A2:I2"/>
    <mergeCell ref="A5:I5"/>
    <mergeCell ref="A7:I7"/>
    <mergeCell ref="A9:I9"/>
    <mergeCell ref="A11:I11"/>
    <mergeCell ref="A13:I13"/>
    <mergeCell ref="A15:I15"/>
    <mergeCell ref="A17:I17"/>
    <mergeCell ref="A19:I19"/>
    <mergeCell ref="A21:I21"/>
    <mergeCell ref="A23:I23"/>
    <mergeCell ref="A25:I25"/>
    <mergeCell ref="A27:I27"/>
    <mergeCell ref="A30:I30"/>
    <mergeCell ref="A33:I33"/>
    <mergeCell ref="A35:I35"/>
    <mergeCell ref="A38:I38"/>
    <mergeCell ref="A40:I40"/>
    <mergeCell ref="A42:I42"/>
    <mergeCell ref="A44:I44"/>
    <mergeCell ref="A46:I46"/>
    <mergeCell ref="A48:I48"/>
    <mergeCell ref="A50:I50"/>
    <mergeCell ref="A52:I52"/>
    <mergeCell ref="A54:I54"/>
    <mergeCell ref="A56:I56"/>
    <mergeCell ref="A58:I58"/>
    <mergeCell ref="A60:I60"/>
    <mergeCell ref="A62:I62"/>
    <mergeCell ref="A64:I64"/>
    <mergeCell ref="A66:I66"/>
  </mergeCells>
  <dataValidations count="31">
    <dataValidation type="list" allowBlank="1" sqref="F10">
      <formula1>"Pass,Fail,N/A"</formula1>
    </dataValidation>
    <dataValidation type="list" allowBlank="1" sqref="F12">
      <formula1>"Pass,Fail,N/A"</formula1>
    </dataValidation>
    <dataValidation type="list" allowBlank="1" sqref="F14">
      <formula1>"Pass,Fail,N/A"</formula1>
    </dataValidation>
    <dataValidation type="list" allowBlank="1" sqref="F16">
      <formula1>"Pass,Fail,N/A"</formula1>
    </dataValidation>
    <dataValidation type="list" allowBlank="1" sqref="F18">
      <formula1>"Pass,Fail,N/A"</formula1>
    </dataValidation>
    <dataValidation type="list" allowBlank="1" sqref="F20">
      <formula1>"Pass,Fail,N/A"</formula1>
    </dataValidation>
    <dataValidation type="list" allowBlank="1" sqref="F22">
      <formula1>"Pass,Fail,N/A"</formula1>
    </dataValidation>
    <dataValidation type="list" allowBlank="1" sqref="F24">
      <formula1>"Pass,Fail,N/A"</formula1>
    </dataValidation>
    <dataValidation type="list" allowBlank="1" sqref="F26">
      <formula1>"Pass,Fail,N/A"</formula1>
    </dataValidation>
    <dataValidation type="list" allowBlank="1" sqref="F28:F29">
      <formula1>"Pass,Fail,N/A"</formula1>
    </dataValidation>
    <dataValidation type="list" allowBlank="1" sqref="F3:F4">
      <formula1>"Pass,Fail,N/A"</formula1>
    </dataValidation>
    <dataValidation type="list" allowBlank="1" sqref="F31:F32">
      <formula1>"Pass,Fail,N/A"</formula1>
    </dataValidation>
    <dataValidation type="list" allowBlank="1" sqref="F34">
      <formula1>"Pass,Fail,N/A"</formula1>
    </dataValidation>
    <dataValidation type="list" allowBlank="1" sqref="F36:F37">
      <formula1>"Pass,Fail,N/A"</formula1>
    </dataValidation>
    <dataValidation type="list" allowBlank="1" sqref="F39">
      <formula1>"Pass,Fail,N/A"</formula1>
    </dataValidation>
    <dataValidation type="list" allowBlank="1" sqref="F41">
      <formula1>"Pass,Fail,N/A"</formula1>
    </dataValidation>
    <dataValidation type="list" allowBlank="1" sqref="F43">
      <formula1>"Pass,Fail,N/A"</formula1>
    </dataValidation>
    <dataValidation type="list" allowBlank="1" sqref="F45">
      <formula1>"Pass,Fail,N/A"</formula1>
    </dataValidation>
    <dataValidation type="list" allowBlank="1" sqref="F47">
      <formula1>"Pass,Fail,N/A"</formula1>
    </dataValidation>
    <dataValidation type="list" allowBlank="1" sqref="F49">
      <formula1>"Pass,Fail,N/A"</formula1>
    </dataValidation>
    <dataValidation type="list" allowBlank="1" sqref="F51">
      <formula1>"Pass,Fail,N/A"</formula1>
    </dataValidation>
    <dataValidation type="list" allowBlank="1" sqref="F53">
      <formula1>"Pass,Fail,N/A"</formula1>
    </dataValidation>
    <dataValidation type="list" allowBlank="1" sqref="F55">
      <formula1>"Pass,Fail,N/A"</formula1>
    </dataValidation>
    <dataValidation type="list" allowBlank="1" sqref="F57">
      <formula1>"Pass,Fail,N/A"</formula1>
    </dataValidation>
    <dataValidation type="list" allowBlank="1" sqref="F59">
      <formula1>"Pass,Fail,N/A"</formula1>
    </dataValidation>
    <dataValidation type="list" allowBlank="1" sqref="F6">
      <formula1>"Pass,Fail,N/A"</formula1>
    </dataValidation>
    <dataValidation type="list" allowBlank="1" sqref="F61">
      <formula1>"Pass,Fail,N/A"</formula1>
    </dataValidation>
    <dataValidation type="list" allowBlank="1" sqref="F63">
      <formula1>"Pass,Fail,N/A"</formula1>
    </dataValidation>
    <dataValidation type="list" allowBlank="1" sqref="F65">
      <formula1>"Pass,Fail,N/A"</formula1>
    </dataValidation>
    <dataValidation type="list" allowBlank="1" sqref="F67">
      <formula1>"Pass,Fail,N/A"</formula1>
    </dataValidation>
    <dataValidation type="list" allowBlank="1" sqref="F8">
      <formula1>"Pass,Fail,N/A"</formula1>
    </dataValidation>
  </dataValidation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2560</v>
      </c>
      <c r="B2" s="22"/>
      <c r="C2" s="22"/>
      <c r="D2" s="22"/>
      <c r="E2" s="22"/>
      <c r="F2" s="22"/>
      <c r="G2" s="22"/>
      <c r="H2" s="22"/>
      <c r="I2" s="22"/>
    </row>
    <row r="3" ht="54.4" customHeight="1" spans="1:9" x14ac:dyDescent="0.25">
      <c r="A3" s="23" t="s">
        <v>2561</v>
      </c>
      <c r="B3" s="24" t="s">
        <v>2562</v>
      </c>
      <c r="C3" s="24" t="s">
        <v>2563</v>
      </c>
      <c r="D3" s="24" t="s">
        <v>2564</v>
      </c>
      <c r="E3" s="24" t="s">
        <v>2565</v>
      </c>
      <c r="F3" s="25" t="s">
        <v>14</v>
      </c>
      <c r="G3" s="25" t="s">
        <v>14</v>
      </c>
      <c r="H3" s="25" t="s">
        <v>14</v>
      </c>
      <c r="I3" s="24" t="s">
        <v>14</v>
      </c>
    </row>
    <row r="4" ht="41.8" customHeight="1" spans="1:9" x14ac:dyDescent="0.25">
      <c r="A4" s="26" t="s">
        <v>2566</v>
      </c>
      <c r="B4" s="27" t="s">
        <v>2562</v>
      </c>
      <c r="C4" s="27" t="s">
        <v>2567</v>
      </c>
      <c r="D4" s="27" t="s">
        <v>2568</v>
      </c>
      <c r="E4" s="27" t="s">
        <v>2569</v>
      </c>
      <c r="F4" s="25" t="s">
        <v>14</v>
      </c>
      <c r="G4" s="25" t="s">
        <v>14</v>
      </c>
      <c r="H4" s="25" t="s">
        <v>14</v>
      </c>
      <c r="I4" s="27" t="s">
        <v>14</v>
      </c>
    </row>
    <row r="5" ht="41.8" customHeight="1" spans="1:9" x14ac:dyDescent="0.25">
      <c r="A5" s="23" t="s">
        <v>2570</v>
      </c>
      <c r="B5" s="24" t="s">
        <v>2571</v>
      </c>
      <c r="C5" s="24" t="s">
        <v>2572</v>
      </c>
      <c r="D5" s="24" t="s">
        <v>2573</v>
      </c>
      <c r="E5" s="24" t="s">
        <v>2574</v>
      </c>
      <c r="F5" s="25" t="s">
        <v>14</v>
      </c>
      <c r="G5" s="25" t="s">
        <v>14</v>
      </c>
      <c r="H5" s="25" t="s">
        <v>14</v>
      </c>
      <c r="I5" s="24" t="s">
        <v>2575</v>
      </c>
    </row>
    <row r="6" ht="18" customHeight="1" spans="1:9" x14ac:dyDescent="0.25">
      <c r="A6" s="22" t="s">
        <v>2576</v>
      </c>
      <c r="B6" s="22"/>
      <c r="C6" s="22"/>
      <c r="D6" s="22"/>
      <c r="E6" s="22"/>
      <c r="F6" s="22"/>
      <c r="G6" s="22"/>
      <c r="H6" s="22"/>
      <c r="I6" s="22"/>
    </row>
    <row r="7" ht="67" customHeight="1" spans="1:9" x14ac:dyDescent="0.25">
      <c r="A7" s="23" t="s">
        <v>2577</v>
      </c>
      <c r="B7" s="24" t="s">
        <v>2578</v>
      </c>
      <c r="C7" s="24" t="s">
        <v>2579</v>
      </c>
      <c r="D7" s="24" t="s">
        <v>2580</v>
      </c>
      <c r="E7" s="24" t="s">
        <v>2581</v>
      </c>
      <c r="F7" s="25" t="s">
        <v>14</v>
      </c>
      <c r="G7" s="25" t="s">
        <v>14</v>
      </c>
      <c r="H7" s="25" t="s">
        <v>14</v>
      </c>
      <c r="I7" s="24" t="s">
        <v>2582</v>
      </c>
    </row>
    <row r="8" ht="29.2" customHeight="1" spans="1:9" x14ac:dyDescent="0.25">
      <c r="A8" s="26" t="s">
        <v>2583</v>
      </c>
      <c r="B8" s="27" t="s">
        <v>2578</v>
      </c>
      <c r="C8" s="27" t="s">
        <v>2584</v>
      </c>
      <c r="D8" s="27" t="s">
        <v>2585</v>
      </c>
      <c r="E8" s="27" t="s">
        <v>2586</v>
      </c>
      <c r="F8" s="25" t="s">
        <v>14</v>
      </c>
      <c r="G8" s="25" t="s">
        <v>14</v>
      </c>
      <c r="H8" s="25" t="s">
        <v>14</v>
      </c>
      <c r="I8" s="27" t="s">
        <v>14</v>
      </c>
    </row>
    <row r="9" ht="18" customHeight="1" spans="1:9" x14ac:dyDescent="0.25">
      <c r="A9" s="22" t="s">
        <v>2587</v>
      </c>
      <c r="B9" s="22"/>
      <c r="C9" s="22"/>
      <c r="D9" s="22"/>
      <c r="E9" s="22"/>
      <c r="F9" s="22"/>
      <c r="G9" s="22"/>
      <c r="H9" s="22"/>
      <c r="I9" s="22"/>
    </row>
    <row r="10" ht="41.8" customHeight="1" spans="1:9" x14ac:dyDescent="0.25">
      <c r="A10" s="23" t="s">
        <v>663</v>
      </c>
      <c r="B10" s="24" t="s">
        <v>2588</v>
      </c>
      <c r="C10" s="24" t="s">
        <v>2589</v>
      </c>
      <c r="D10" s="24" t="s">
        <v>2590</v>
      </c>
      <c r="E10" s="24" t="s">
        <v>2591</v>
      </c>
      <c r="F10" s="25" t="s">
        <v>14</v>
      </c>
      <c r="G10" s="25" t="s">
        <v>14</v>
      </c>
      <c r="H10" s="25" t="s">
        <v>14</v>
      </c>
      <c r="I10" s="24" t="s">
        <v>14</v>
      </c>
    </row>
    <row r="11" ht="18" customHeight="1" spans="1:9" x14ac:dyDescent="0.25">
      <c r="A11" s="22" t="s">
        <v>2592</v>
      </c>
      <c r="B11" s="22"/>
      <c r="C11" s="22"/>
      <c r="D11" s="22"/>
      <c r="E11" s="22"/>
      <c r="F11" s="22"/>
      <c r="G11" s="22"/>
      <c r="H11" s="22"/>
      <c r="I11" s="22"/>
    </row>
    <row r="12" ht="41.8" customHeight="1" spans="1:9" x14ac:dyDescent="0.25">
      <c r="A12" s="23" t="s">
        <v>2593</v>
      </c>
      <c r="B12" s="24" t="s">
        <v>2594</v>
      </c>
      <c r="C12" s="24" t="s">
        <v>2595</v>
      </c>
      <c r="D12" s="24" t="s">
        <v>2596</v>
      </c>
      <c r="E12" s="24" t="s">
        <v>2597</v>
      </c>
      <c r="F12" s="25" t="s">
        <v>14</v>
      </c>
      <c r="G12" s="25" t="s">
        <v>14</v>
      </c>
      <c r="H12" s="25" t="s">
        <v>14</v>
      </c>
      <c r="I12" s="24" t="s">
        <v>14</v>
      </c>
    </row>
    <row r="13" ht="54.4" customHeight="1" spans="1:9" x14ac:dyDescent="0.25">
      <c r="A13" s="26" t="s">
        <v>2598</v>
      </c>
      <c r="B13" s="27" t="s">
        <v>2599</v>
      </c>
      <c r="C13" s="27" t="s">
        <v>2600</v>
      </c>
      <c r="D13" s="27" t="s">
        <v>2601</v>
      </c>
      <c r="E13" s="27" t="s">
        <v>2602</v>
      </c>
      <c r="F13" s="25" t="s">
        <v>14</v>
      </c>
      <c r="G13" s="25" t="s">
        <v>14</v>
      </c>
      <c r="H13" s="25" t="s">
        <v>14</v>
      </c>
      <c r="I13" s="27" t="s">
        <v>2603</v>
      </c>
    </row>
    <row r="14" ht="18" customHeight="1" spans="1:9" x14ac:dyDescent="0.25">
      <c r="A14" s="22" t="s">
        <v>2604</v>
      </c>
      <c r="B14" s="22"/>
      <c r="C14" s="22"/>
      <c r="D14" s="22"/>
      <c r="E14" s="22"/>
      <c r="F14" s="22"/>
      <c r="G14" s="22"/>
      <c r="H14" s="22"/>
      <c r="I14" s="22"/>
    </row>
    <row r="15" ht="41.8" customHeight="1" spans="1:9" x14ac:dyDescent="0.25">
      <c r="A15" s="23" t="s">
        <v>669</v>
      </c>
      <c r="B15" s="24" t="s">
        <v>2605</v>
      </c>
      <c r="C15" s="24" t="s">
        <v>2606</v>
      </c>
      <c r="D15" s="24" t="s">
        <v>2607</v>
      </c>
      <c r="E15" s="24" t="s">
        <v>2608</v>
      </c>
      <c r="F15" s="25" t="s">
        <v>14</v>
      </c>
      <c r="G15" s="25" t="s">
        <v>14</v>
      </c>
      <c r="H15" s="25" t="s">
        <v>14</v>
      </c>
      <c r="I15" s="24" t="s">
        <v>2609</v>
      </c>
    </row>
    <row r="16" ht="18" customHeight="1" spans="1:9" x14ac:dyDescent="0.25">
      <c r="A16" s="22" t="s">
        <v>2610</v>
      </c>
      <c r="B16" s="22"/>
      <c r="C16" s="22"/>
      <c r="D16" s="22"/>
      <c r="E16" s="22"/>
      <c r="F16" s="22"/>
      <c r="G16" s="22"/>
      <c r="H16" s="22"/>
      <c r="I16" s="22"/>
    </row>
    <row r="17" ht="54.4" customHeight="1" spans="1:9" x14ac:dyDescent="0.25">
      <c r="A17" s="23" t="s">
        <v>683</v>
      </c>
      <c r="B17" s="24" t="s">
        <v>2611</v>
      </c>
      <c r="C17" s="24" t="s">
        <v>2612</v>
      </c>
      <c r="D17" s="24" t="s">
        <v>2613</v>
      </c>
      <c r="E17" s="24" t="s">
        <v>2614</v>
      </c>
      <c r="F17" s="25" t="s">
        <v>14</v>
      </c>
      <c r="G17" s="25" t="s">
        <v>14</v>
      </c>
      <c r="H17" s="25" t="s">
        <v>14</v>
      </c>
      <c r="I17" s="24" t="s">
        <v>14</v>
      </c>
    </row>
    <row r="18" ht="18" customHeight="1" spans="1:9" x14ac:dyDescent="0.25">
      <c r="A18" s="22" t="s">
        <v>2615</v>
      </c>
      <c r="B18" s="22"/>
      <c r="C18" s="22"/>
      <c r="D18" s="22"/>
      <c r="E18" s="22"/>
      <c r="F18" s="22"/>
      <c r="G18" s="22"/>
      <c r="H18" s="22"/>
      <c r="I18" s="22"/>
    </row>
    <row r="19" ht="29.2" customHeight="1" spans="1:9" x14ac:dyDescent="0.25">
      <c r="A19" s="23" t="s">
        <v>2616</v>
      </c>
      <c r="B19" s="24" t="s">
        <v>2617</v>
      </c>
      <c r="C19" s="24" t="s">
        <v>2618</v>
      </c>
      <c r="D19" s="24" t="s">
        <v>2619</v>
      </c>
      <c r="E19" s="24" t="s">
        <v>2620</v>
      </c>
      <c r="F19" s="25" t="s">
        <v>14</v>
      </c>
      <c r="G19" s="25" t="s">
        <v>14</v>
      </c>
      <c r="H19" s="25" t="s">
        <v>14</v>
      </c>
      <c r="I19" s="24" t="s">
        <v>14</v>
      </c>
    </row>
    <row r="20" ht="54.4" customHeight="1" spans="1:9" x14ac:dyDescent="0.25">
      <c r="A20" s="26" t="s">
        <v>2621</v>
      </c>
      <c r="B20" s="27" t="s">
        <v>2622</v>
      </c>
      <c r="C20" s="27" t="s">
        <v>2623</v>
      </c>
      <c r="D20" s="27" t="s">
        <v>2624</v>
      </c>
      <c r="E20" s="27" t="s">
        <v>2625</v>
      </c>
      <c r="F20" s="25" t="s">
        <v>14</v>
      </c>
      <c r="G20" s="25" t="s">
        <v>14</v>
      </c>
      <c r="H20" s="25" t="s">
        <v>14</v>
      </c>
      <c r="I20" s="27" t="s">
        <v>14</v>
      </c>
    </row>
    <row r="21" ht="18" customHeight="1" spans="1:9" x14ac:dyDescent="0.25">
      <c r="A21" s="22" t="s">
        <v>2626</v>
      </c>
      <c r="B21" s="22"/>
      <c r="C21" s="22"/>
      <c r="D21" s="22"/>
      <c r="E21" s="22"/>
      <c r="F21" s="22"/>
      <c r="G21" s="22"/>
      <c r="H21" s="22"/>
      <c r="I21" s="22"/>
    </row>
    <row r="22" ht="67" customHeight="1" spans="1:9" x14ac:dyDescent="0.25">
      <c r="A22" s="23" t="s">
        <v>2627</v>
      </c>
      <c r="B22" s="24" t="s">
        <v>2628</v>
      </c>
      <c r="C22" s="24" t="s">
        <v>2629</v>
      </c>
      <c r="D22" s="24" t="s">
        <v>2630</v>
      </c>
      <c r="E22" s="24" t="s">
        <v>2631</v>
      </c>
      <c r="F22" s="25" t="s">
        <v>14</v>
      </c>
      <c r="G22" s="25" t="s">
        <v>14</v>
      </c>
      <c r="H22" s="25" t="s">
        <v>14</v>
      </c>
      <c r="I22" s="24" t="s">
        <v>14</v>
      </c>
    </row>
    <row r="23" ht="67" customHeight="1" spans="1:9" x14ac:dyDescent="0.25">
      <c r="A23" s="26" t="s">
        <v>2632</v>
      </c>
      <c r="B23" s="27" t="s">
        <v>2628</v>
      </c>
      <c r="C23" s="27" t="s">
        <v>2633</v>
      </c>
      <c r="D23" s="27" t="s">
        <v>2634</v>
      </c>
      <c r="E23" s="27" t="s">
        <v>2635</v>
      </c>
      <c r="F23" s="25" t="s">
        <v>14</v>
      </c>
      <c r="G23" s="25" t="s">
        <v>14</v>
      </c>
      <c r="H23" s="25" t="s">
        <v>14</v>
      </c>
      <c r="I23" s="27" t="s">
        <v>14</v>
      </c>
    </row>
    <row r="24" ht="67" customHeight="1" spans="1:9" x14ac:dyDescent="0.25">
      <c r="A24" s="23" t="s">
        <v>2636</v>
      </c>
      <c r="B24" s="24" t="s">
        <v>2637</v>
      </c>
      <c r="C24" s="24" t="s">
        <v>2638</v>
      </c>
      <c r="D24" s="24" t="s">
        <v>2639</v>
      </c>
      <c r="E24" s="24" t="s">
        <v>2640</v>
      </c>
      <c r="F24" s="25" t="s">
        <v>14</v>
      </c>
      <c r="G24" s="25" t="s">
        <v>14</v>
      </c>
      <c r="H24" s="25" t="s">
        <v>14</v>
      </c>
      <c r="I24" s="24" t="s">
        <v>14</v>
      </c>
    </row>
    <row r="25" ht="18" customHeight="1" spans="1:9" x14ac:dyDescent="0.25">
      <c r="A25" s="22" t="s">
        <v>2641</v>
      </c>
      <c r="B25" s="22"/>
      <c r="C25" s="22"/>
      <c r="D25" s="22"/>
      <c r="E25" s="22"/>
      <c r="F25" s="22"/>
      <c r="G25" s="22"/>
      <c r="H25" s="22"/>
      <c r="I25" s="22"/>
    </row>
    <row r="26" ht="41.8" customHeight="1" spans="1:9" x14ac:dyDescent="0.25">
      <c r="A26" s="23" t="s">
        <v>2642</v>
      </c>
      <c r="B26" s="24" t="s">
        <v>2643</v>
      </c>
      <c r="C26" s="24" t="s">
        <v>2644</v>
      </c>
      <c r="D26" s="24" t="s">
        <v>2645</v>
      </c>
      <c r="E26" s="24" t="s">
        <v>2646</v>
      </c>
      <c r="F26" s="25" t="s">
        <v>14</v>
      </c>
      <c r="G26" s="25" t="s">
        <v>14</v>
      </c>
      <c r="H26" s="25" t="s">
        <v>14</v>
      </c>
      <c r="I26" s="24" t="s">
        <v>14</v>
      </c>
    </row>
    <row r="27" ht="41.8" customHeight="1" spans="1:9" x14ac:dyDescent="0.25">
      <c r="A27" s="26" t="s">
        <v>2647</v>
      </c>
      <c r="B27" s="27" t="s">
        <v>2648</v>
      </c>
      <c r="C27" s="27" t="s">
        <v>2649</v>
      </c>
      <c r="D27" s="27" t="s">
        <v>2650</v>
      </c>
      <c r="E27" s="27" t="s">
        <v>2651</v>
      </c>
      <c r="F27" s="25" t="s">
        <v>14</v>
      </c>
      <c r="G27" s="25" t="s">
        <v>14</v>
      </c>
      <c r="H27" s="25" t="s">
        <v>14</v>
      </c>
      <c r="I27" s="27" t="s">
        <v>2652</v>
      </c>
    </row>
    <row r="28" ht="18" customHeight="1" spans="1:9" x14ac:dyDescent="0.25">
      <c r="A28" s="22" t="s">
        <v>2653</v>
      </c>
      <c r="B28" s="22"/>
      <c r="C28" s="22"/>
      <c r="D28" s="22"/>
      <c r="E28" s="22"/>
      <c r="F28" s="22"/>
      <c r="G28" s="22"/>
      <c r="H28" s="22"/>
      <c r="I28" s="22"/>
    </row>
    <row r="29" ht="41.8" customHeight="1" spans="1:9" x14ac:dyDescent="0.25">
      <c r="A29" s="23" t="s">
        <v>2654</v>
      </c>
      <c r="B29" s="24" t="s">
        <v>2655</v>
      </c>
      <c r="C29" s="24" t="s">
        <v>2656</v>
      </c>
      <c r="D29" s="24" t="s">
        <v>2657</v>
      </c>
      <c r="E29" s="24" t="s">
        <v>2658</v>
      </c>
      <c r="F29" s="25" t="s">
        <v>14</v>
      </c>
      <c r="G29" s="25" t="s">
        <v>14</v>
      </c>
      <c r="H29" s="25" t="s">
        <v>14</v>
      </c>
      <c r="I29" s="24" t="s">
        <v>14</v>
      </c>
    </row>
    <row r="30" ht="54.4" customHeight="1" spans="1:9" x14ac:dyDescent="0.25">
      <c r="A30" s="26" t="s">
        <v>2659</v>
      </c>
      <c r="B30" s="27" t="s">
        <v>2660</v>
      </c>
      <c r="C30" s="27" t="s">
        <v>2661</v>
      </c>
      <c r="D30" s="27" t="s">
        <v>2662</v>
      </c>
      <c r="E30" s="27" t="s">
        <v>2663</v>
      </c>
      <c r="F30" s="25" t="s">
        <v>14</v>
      </c>
      <c r="G30" s="25" t="s">
        <v>14</v>
      </c>
      <c r="H30" s="25" t="s">
        <v>14</v>
      </c>
      <c r="I30" s="27" t="s">
        <v>14</v>
      </c>
    </row>
    <row r="31" ht="18" customHeight="1" spans="1:9" x14ac:dyDescent="0.25">
      <c r="A31" s="22" t="s">
        <v>2664</v>
      </c>
      <c r="B31" s="22"/>
      <c r="C31" s="22"/>
      <c r="D31" s="22"/>
      <c r="E31" s="22"/>
      <c r="F31" s="22"/>
      <c r="G31" s="22"/>
      <c r="H31" s="22"/>
      <c r="I31" s="22"/>
    </row>
    <row r="32" ht="15" customHeight="1" spans="1:9" x14ac:dyDescent="0.25">
      <c r="A32" s="28" t="s">
        <v>1005</v>
      </c>
      <c r="B32" s="28"/>
      <c r="C32" s="28"/>
      <c r="D32" s="28"/>
      <c r="E32" s="28"/>
      <c r="F32" s="28"/>
      <c r="G32" s="28"/>
      <c r="H32" s="28"/>
      <c r="I32" s="28"/>
    </row>
    <row r="33" ht="18" customHeight="1" spans="1:9" x14ac:dyDescent="0.25">
      <c r="A33" s="22" t="s">
        <v>2665</v>
      </c>
      <c r="B33" s="22"/>
      <c r="C33" s="22"/>
      <c r="D33" s="22"/>
      <c r="E33" s="22"/>
      <c r="F33" s="22"/>
      <c r="G33" s="22"/>
      <c r="H33" s="22"/>
      <c r="I33" s="22"/>
    </row>
    <row r="34" ht="54.4" customHeight="1" spans="1:9" x14ac:dyDescent="0.25">
      <c r="A34" s="23" t="s">
        <v>798</v>
      </c>
      <c r="B34" s="24" t="s">
        <v>2666</v>
      </c>
      <c r="C34" s="24" t="s">
        <v>2667</v>
      </c>
      <c r="D34" s="24" t="s">
        <v>2668</v>
      </c>
      <c r="E34" s="24" t="s">
        <v>2669</v>
      </c>
      <c r="F34" s="25" t="s">
        <v>14</v>
      </c>
      <c r="G34" s="25" t="s">
        <v>14</v>
      </c>
      <c r="H34" s="25" t="s">
        <v>14</v>
      </c>
      <c r="I34" s="24" t="s">
        <v>2670</v>
      </c>
    </row>
    <row r="35" ht="18" customHeight="1" spans="1:9" x14ac:dyDescent="0.25">
      <c r="A35" s="22" t="s">
        <v>2671</v>
      </c>
      <c r="B35" s="22"/>
      <c r="C35" s="22"/>
      <c r="D35" s="22"/>
      <c r="E35" s="22"/>
      <c r="F35" s="22"/>
      <c r="G35" s="22"/>
      <c r="H35" s="22"/>
      <c r="I35" s="22"/>
    </row>
    <row r="36" ht="41.8" customHeight="1" spans="1:9" x14ac:dyDescent="0.25">
      <c r="A36" s="23" t="s">
        <v>801</v>
      </c>
      <c r="B36" s="24" t="s">
        <v>2672</v>
      </c>
      <c r="C36" s="24" t="s">
        <v>2673</v>
      </c>
      <c r="D36" s="24" t="s">
        <v>2674</v>
      </c>
      <c r="E36" s="24" t="s">
        <v>2675</v>
      </c>
      <c r="F36" s="25" t="s">
        <v>14</v>
      </c>
      <c r="G36" s="25" t="s">
        <v>14</v>
      </c>
      <c r="H36" s="25" t="s">
        <v>14</v>
      </c>
      <c r="I36" s="24" t="s">
        <v>2676</v>
      </c>
    </row>
    <row r="37" ht="18" customHeight="1" spans="1:9" x14ac:dyDescent="0.25">
      <c r="A37" s="22" t="s">
        <v>2677</v>
      </c>
      <c r="B37" s="22"/>
      <c r="C37" s="22"/>
      <c r="D37" s="22"/>
      <c r="E37" s="22"/>
      <c r="F37" s="22"/>
      <c r="G37" s="22"/>
      <c r="H37" s="22"/>
      <c r="I37" s="22"/>
    </row>
    <row r="38" ht="54.4" customHeight="1" spans="1:9" x14ac:dyDescent="0.25">
      <c r="A38" s="23" t="s">
        <v>805</v>
      </c>
      <c r="B38" s="24" t="s">
        <v>2678</v>
      </c>
      <c r="C38" s="24" t="s">
        <v>2679</v>
      </c>
      <c r="D38" s="24" t="s">
        <v>2680</v>
      </c>
      <c r="E38" s="24" t="s">
        <v>2681</v>
      </c>
      <c r="F38" s="25" t="s">
        <v>14</v>
      </c>
      <c r="G38" s="25" t="s">
        <v>14</v>
      </c>
      <c r="H38" s="25" t="s">
        <v>14</v>
      </c>
      <c r="I38" s="24" t="s">
        <v>2682</v>
      </c>
    </row>
    <row r="39" ht="18" customHeight="1" spans="1:9" x14ac:dyDescent="0.25">
      <c r="A39" s="22" t="s">
        <v>2683</v>
      </c>
      <c r="B39" s="22"/>
      <c r="C39" s="22"/>
      <c r="D39" s="22"/>
      <c r="E39" s="22"/>
      <c r="F39" s="22"/>
      <c r="G39" s="22"/>
      <c r="H39" s="22"/>
      <c r="I39" s="22"/>
    </row>
    <row r="40" ht="41.8" customHeight="1" spans="1:9" x14ac:dyDescent="0.25">
      <c r="A40" s="23" t="s">
        <v>808</v>
      </c>
      <c r="B40" s="24" t="s">
        <v>2684</v>
      </c>
      <c r="C40" s="24" t="s">
        <v>2685</v>
      </c>
      <c r="D40" s="24" t="s">
        <v>2686</v>
      </c>
      <c r="E40" s="24" t="s">
        <v>2687</v>
      </c>
      <c r="F40" s="25" t="s">
        <v>14</v>
      </c>
      <c r="G40" s="25" t="s">
        <v>14</v>
      </c>
      <c r="H40" s="25" t="s">
        <v>14</v>
      </c>
      <c r="I40" s="24" t="s">
        <v>2676</v>
      </c>
    </row>
  </sheetData>
  <mergeCells count="16">
    <mergeCell ref="A2:I2"/>
    <mergeCell ref="A6:I6"/>
    <mergeCell ref="A9:I9"/>
    <mergeCell ref="A11:I11"/>
    <mergeCell ref="A14:I14"/>
    <mergeCell ref="A16:I16"/>
    <mergeCell ref="A18:I18"/>
    <mergeCell ref="A21:I21"/>
    <mergeCell ref="A25:I25"/>
    <mergeCell ref="A28:I28"/>
    <mergeCell ref="A31:I31"/>
    <mergeCell ref="A32:I32"/>
    <mergeCell ref="A33:I33"/>
    <mergeCell ref="A35:I35"/>
    <mergeCell ref="A37:I37"/>
    <mergeCell ref="A39:I39"/>
  </mergeCells>
  <dataValidations count="14">
    <dataValidation type="list" allowBlank="1" sqref="F10">
      <formula1>"Pass,Fail,N/A"</formula1>
    </dataValidation>
    <dataValidation type="list" allowBlank="1" sqref="F12:F13">
      <formula1>"Pass,Fail,N/A"</formula1>
    </dataValidation>
    <dataValidation type="list" allowBlank="1" sqref="F15">
      <formula1>"Pass,Fail,N/A"</formula1>
    </dataValidation>
    <dataValidation type="list" allowBlank="1" sqref="F17">
      <formula1>"Pass,Fail,N/A"</formula1>
    </dataValidation>
    <dataValidation type="list" allowBlank="1" sqref="F19:F20">
      <formula1>"Pass,Fail,N/A"</formula1>
    </dataValidation>
    <dataValidation type="list" allowBlank="1" sqref="F22:F24">
      <formula1>"Pass,Fail,N/A"</formula1>
    </dataValidation>
    <dataValidation type="list" allowBlank="1" sqref="F26:F27">
      <formula1>"Pass,Fail,N/A"</formula1>
    </dataValidation>
    <dataValidation type="list" allowBlank="1" sqref="F29:F30">
      <formula1>"Pass,Fail,N/A"</formula1>
    </dataValidation>
    <dataValidation type="list" allowBlank="1" sqref="F3:F5">
      <formula1>"Pass,Fail,N/A"</formula1>
    </dataValidation>
    <dataValidation type="list" allowBlank="1" sqref="F34">
      <formula1>"Pass,Fail,N/A"</formula1>
    </dataValidation>
    <dataValidation type="list" allowBlank="1" sqref="F36">
      <formula1>"Pass,Fail,N/A"</formula1>
    </dataValidation>
    <dataValidation type="list" allowBlank="1" sqref="F38">
      <formula1>"Pass,Fail,N/A"</formula1>
    </dataValidation>
    <dataValidation type="list" allowBlank="1" sqref="F40">
      <formula1>"Pass,Fail,N/A"</formula1>
    </dataValidation>
    <dataValidation type="list" allowBlank="1" sqref="F7:F8">
      <formula1>"Pass,Fail,N/A"</formula1>
    </dataValidation>
  </dataValidation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2688</v>
      </c>
      <c r="B2" s="22"/>
      <c r="C2" s="22"/>
      <c r="D2" s="22"/>
      <c r="E2" s="22"/>
      <c r="F2" s="22"/>
      <c r="G2" s="22"/>
      <c r="H2" s="22"/>
      <c r="I2" s="22"/>
    </row>
    <row r="3" ht="41.8" customHeight="1" spans="1:9" x14ac:dyDescent="0.25">
      <c r="A3" s="23" t="s">
        <v>2689</v>
      </c>
      <c r="B3" s="24" t="s">
        <v>2690</v>
      </c>
      <c r="C3" s="24" t="s">
        <v>2691</v>
      </c>
      <c r="D3" s="24" t="s">
        <v>2692</v>
      </c>
      <c r="E3" s="24" t="s">
        <v>2693</v>
      </c>
      <c r="F3" s="25" t="s">
        <v>14</v>
      </c>
      <c r="G3" s="25" t="s">
        <v>14</v>
      </c>
      <c r="H3" s="25" t="s">
        <v>14</v>
      </c>
      <c r="I3" s="24" t="s">
        <v>14</v>
      </c>
    </row>
    <row r="4" ht="41.8" customHeight="1" spans="1:9" x14ac:dyDescent="0.25">
      <c r="A4" s="26" t="s">
        <v>2694</v>
      </c>
      <c r="B4" s="27" t="s">
        <v>2695</v>
      </c>
      <c r="C4" s="27" t="s">
        <v>2696</v>
      </c>
      <c r="D4" s="27" t="s">
        <v>2697</v>
      </c>
      <c r="E4" s="27" t="s">
        <v>2698</v>
      </c>
      <c r="F4" s="25" t="s">
        <v>14</v>
      </c>
      <c r="G4" s="25" t="s">
        <v>14</v>
      </c>
      <c r="H4" s="25" t="s">
        <v>14</v>
      </c>
      <c r="I4" s="27" t="s">
        <v>14</v>
      </c>
    </row>
    <row r="5" ht="18" customHeight="1" spans="1:9" x14ac:dyDescent="0.25">
      <c r="A5" s="22" t="s">
        <v>2699</v>
      </c>
      <c r="B5" s="22"/>
      <c r="C5" s="22"/>
      <c r="D5" s="22"/>
      <c r="E5" s="22"/>
      <c r="F5" s="22"/>
      <c r="G5" s="22"/>
      <c r="H5" s="22"/>
      <c r="I5" s="22"/>
    </row>
    <row r="6" ht="54.4" customHeight="1" spans="1:9" x14ac:dyDescent="0.25">
      <c r="A6" s="23" t="s">
        <v>405</v>
      </c>
      <c r="B6" s="24" t="s">
        <v>2700</v>
      </c>
      <c r="C6" s="24" t="s">
        <v>2701</v>
      </c>
      <c r="D6" s="24" t="s">
        <v>2702</v>
      </c>
      <c r="E6" s="24" t="s">
        <v>2703</v>
      </c>
      <c r="F6" s="25" t="s">
        <v>14</v>
      </c>
      <c r="G6" s="25" t="s">
        <v>14</v>
      </c>
      <c r="H6" s="25" t="s">
        <v>14</v>
      </c>
      <c r="I6" s="24" t="s">
        <v>14</v>
      </c>
    </row>
    <row r="7" ht="18" customHeight="1" spans="1:9" x14ac:dyDescent="0.25">
      <c r="A7" s="22" t="s">
        <v>2704</v>
      </c>
      <c r="B7" s="22"/>
      <c r="C7" s="22"/>
      <c r="D7" s="22"/>
      <c r="E7" s="22"/>
      <c r="F7" s="22"/>
      <c r="G7" s="22"/>
      <c r="H7" s="22"/>
      <c r="I7" s="22"/>
    </row>
    <row r="8" ht="41.8" customHeight="1" spans="1:9" x14ac:dyDescent="0.25">
      <c r="A8" s="23" t="s">
        <v>409</v>
      </c>
      <c r="B8" s="24" t="s">
        <v>2705</v>
      </c>
      <c r="C8" s="24" t="s">
        <v>2706</v>
      </c>
      <c r="D8" s="24" t="s">
        <v>2707</v>
      </c>
      <c r="E8" s="24" t="s">
        <v>2708</v>
      </c>
      <c r="F8" s="25" t="s">
        <v>14</v>
      </c>
      <c r="G8" s="25" t="s">
        <v>14</v>
      </c>
      <c r="H8" s="25" t="s">
        <v>14</v>
      </c>
      <c r="I8" s="24" t="s">
        <v>14</v>
      </c>
    </row>
    <row r="9" ht="18" customHeight="1" spans="1:9" x14ac:dyDescent="0.25">
      <c r="A9" s="22" t="s">
        <v>2709</v>
      </c>
      <c r="B9" s="22"/>
      <c r="C9" s="22"/>
      <c r="D9" s="22"/>
      <c r="E9" s="22"/>
      <c r="F9" s="22"/>
      <c r="G9" s="22"/>
      <c r="H9" s="22"/>
      <c r="I9" s="22"/>
    </row>
    <row r="10" ht="54.4" customHeight="1" spans="1:9" x14ac:dyDescent="0.25">
      <c r="A10" s="23" t="s">
        <v>540</v>
      </c>
      <c r="B10" s="24" t="s">
        <v>2710</v>
      </c>
      <c r="C10" s="24" t="s">
        <v>2711</v>
      </c>
      <c r="D10" s="24" t="s">
        <v>2712</v>
      </c>
      <c r="E10" s="24" t="s">
        <v>2713</v>
      </c>
      <c r="F10" s="25" t="s">
        <v>14</v>
      </c>
      <c r="G10" s="25" t="s">
        <v>14</v>
      </c>
      <c r="H10" s="25" t="s">
        <v>14</v>
      </c>
      <c r="I10" s="24" t="s">
        <v>2714</v>
      </c>
    </row>
    <row r="11" ht="18" customHeight="1" spans="1:9" x14ac:dyDescent="0.25">
      <c r="A11" s="22" t="s">
        <v>2715</v>
      </c>
      <c r="B11" s="22"/>
      <c r="C11" s="22"/>
      <c r="D11" s="22"/>
      <c r="E11" s="22"/>
      <c r="F11" s="22"/>
      <c r="G11" s="22"/>
      <c r="H11" s="22"/>
      <c r="I11" s="22"/>
    </row>
    <row r="12" ht="54.4" customHeight="1" spans="1:9" x14ac:dyDescent="0.25">
      <c r="A12" s="23" t="s">
        <v>543</v>
      </c>
      <c r="B12" s="24" t="s">
        <v>2716</v>
      </c>
      <c r="C12" s="24" t="s">
        <v>2717</v>
      </c>
      <c r="D12" s="24" t="s">
        <v>2718</v>
      </c>
      <c r="E12" s="24" t="s">
        <v>2719</v>
      </c>
      <c r="F12" s="25" t="s">
        <v>14</v>
      </c>
      <c r="G12" s="25" t="s">
        <v>14</v>
      </c>
      <c r="H12" s="25" t="s">
        <v>14</v>
      </c>
      <c r="I12" s="24" t="s">
        <v>14</v>
      </c>
    </row>
    <row r="13" ht="18" customHeight="1" spans="1:9" x14ac:dyDescent="0.25">
      <c r="A13" s="22" t="s">
        <v>2720</v>
      </c>
      <c r="B13" s="22"/>
      <c r="C13" s="22"/>
      <c r="D13" s="22"/>
      <c r="E13" s="22"/>
      <c r="F13" s="22"/>
      <c r="G13" s="22"/>
      <c r="H13" s="22"/>
      <c r="I13" s="22"/>
    </row>
    <row r="14" ht="41.8" customHeight="1" spans="1:9" x14ac:dyDescent="0.25">
      <c r="A14" s="23" t="s">
        <v>2721</v>
      </c>
      <c r="B14" s="24" t="s">
        <v>2722</v>
      </c>
      <c r="C14" s="24" t="s">
        <v>2723</v>
      </c>
      <c r="D14" s="24" t="s">
        <v>2724</v>
      </c>
      <c r="E14" s="24" t="s">
        <v>2725</v>
      </c>
      <c r="F14" s="25" t="s">
        <v>14</v>
      </c>
      <c r="G14" s="25" t="s">
        <v>14</v>
      </c>
      <c r="H14" s="25" t="s">
        <v>14</v>
      </c>
      <c r="I14" s="24" t="s">
        <v>2726</v>
      </c>
    </row>
    <row r="15" ht="41.8" customHeight="1" spans="1:9" x14ac:dyDescent="0.25">
      <c r="A15" s="26" t="s">
        <v>2727</v>
      </c>
      <c r="B15" s="27" t="s">
        <v>2728</v>
      </c>
      <c r="C15" s="27" t="s">
        <v>2729</v>
      </c>
      <c r="D15" s="27" t="s">
        <v>2730</v>
      </c>
      <c r="E15" s="27" t="s">
        <v>2731</v>
      </c>
      <c r="F15" s="25" t="s">
        <v>14</v>
      </c>
      <c r="G15" s="25" t="s">
        <v>14</v>
      </c>
      <c r="H15" s="25" t="s">
        <v>14</v>
      </c>
      <c r="I15" s="27" t="s">
        <v>14</v>
      </c>
    </row>
    <row r="16" ht="18" customHeight="1" spans="1:9" x14ac:dyDescent="0.25">
      <c r="A16" s="22" t="s">
        <v>2732</v>
      </c>
      <c r="B16" s="22"/>
      <c r="C16" s="22"/>
      <c r="D16" s="22"/>
      <c r="E16" s="22"/>
      <c r="F16" s="22"/>
      <c r="G16" s="22"/>
      <c r="H16" s="22"/>
      <c r="I16" s="22"/>
    </row>
    <row r="17" ht="41.8" customHeight="1" spans="1:9" x14ac:dyDescent="0.25">
      <c r="A17" s="23" t="s">
        <v>549</v>
      </c>
      <c r="B17" s="24" t="s">
        <v>2733</v>
      </c>
      <c r="C17" s="24" t="s">
        <v>2734</v>
      </c>
      <c r="D17" s="24" t="s">
        <v>2735</v>
      </c>
      <c r="E17" s="24" t="s">
        <v>2736</v>
      </c>
      <c r="F17" s="25" t="s">
        <v>14</v>
      </c>
      <c r="G17" s="25" t="s">
        <v>14</v>
      </c>
      <c r="H17" s="25" t="s">
        <v>14</v>
      </c>
      <c r="I17" s="24" t="s">
        <v>14</v>
      </c>
    </row>
    <row r="18" ht="18" customHeight="1" spans="1:9" x14ac:dyDescent="0.25">
      <c r="A18" s="22" t="s">
        <v>2737</v>
      </c>
      <c r="B18" s="22"/>
      <c r="C18" s="22"/>
      <c r="D18" s="22"/>
      <c r="E18" s="22"/>
      <c r="F18" s="22"/>
      <c r="G18" s="22"/>
      <c r="H18" s="22"/>
      <c r="I18" s="22"/>
    </row>
    <row r="19" ht="54.4" customHeight="1" spans="1:9" x14ac:dyDescent="0.25">
      <c r="A19" s="23" t="s">
        <v>2738</v>
      </c>
      <c r="B19" s="24" t="s">
        <v>2739</v>
      </c>
      <c r="C19" s="24" t="s">
        <v>2740</v>
      </c>
      <c r="D19" s="24" t="s">
        <v>2741</v>
      </c>
      <c r="E19" s="24" t="s">
        <v>2742</v>
      </c>
      <c r="F19" s="25" t="s">
        <v>14</v>
      </c>
      <c r="G19" s="25" t="s">
        <v>14</v>
      </c>
      <c r="H19" s="25" t="s">
        <v>14</v>
      </c>
      <c r="I19" s="24" t="s">
        <v>14</v>
      </c>
    </row>
    <row r="20" ht="54.4" customHeight="1" spans="1:9" x14ac:dyDescent="0.25">
      <c r="A20" s="26" t="s">
        <v>2743</v>
      </c>
      <c r="B20" s="27" t="s">
        <v>2744</v>
      </c>
      <c r="C20" s="27" t="s">
        <v>2745</v>
      </c>
      <c r="D20" s="27" t="s">
        <v>2746</v>
      </c>
      <c r="E20" s="27" t="s">
        <v>2747</v>
      </c>
      <c r="F20" s="25" t="s">
        <v>14</v>
      </c>
      <c r="G20" s="25" t="s">
        <v>14</v>
      </c>
      <c r="H20" s="25" t="s">
        <v>14</v>
      </c>
      <c r="I20" s="27" t="s">
        <v>2748</v>
      </c>
    </row>
    <row r="21" ht="18" customHeight="1" spans="1:9" x14ac:dyDescent="0.25">
      <c r="A21" s="22" t="s">
        <v>2749</v>
      </c>
      <c r="B21" s="22"/>
      <c r="C21" s="22"/>
      <c r="D21" s="22"/>
      <c r="E21" s="22"/>
      <c r="F21" s="22"/>
      <c r="G21" s="22"/>
      <c r="H21" s="22"/>
      <c r="I21" s="22"/>
    </row>
    <row r="22" ht="54.4" customHeight="1" spans="1:9" x14ac:dyDescent="0.25">
      <c r="A22" s="23" t="s">
        <v>557</v>
      </c>
      <c r="B22" s="24" t="s">
        <v>2750</v>
      </c>
      <c r="C22" s="24" t="s">
        <v>2751</v>
      </c>
      <c r="D22" s="24" t="s">
        <v>2752</v>
      </c>
      <c r="E22" s="24" t="s">
        <v>2753</v>
      </c>
      <c r="F22" s="25" t="s">
        <v>14</v>
      </c>
      <c r="G22" s="25" t="s">
        <v>14</v>
      </c>
      <c r="H22" s="25" t="s">
        <v>14</v>
      </c>
      <c r="I22" s="24" t="s">
        <v>2754</v>
      </c>
    </row>
    <row r="23" ht="18" customHeight="1" spans="1:9" x14ac:dyDescent="0.25">
      <c r="A23" s="22" t="s">
        <v>2755</v>
      </c>
      <c r="B23" s="22"/>
      <c r="C23" s="22"/>
      <c r="D23" s="22"/>
      <c r="E23" s="22"/>
      <c r="F23" s="22"/>
      <c r="G23" s="22"/>
      <c r="H23" s="22"/>
      <c r="I23" s="22"/>
    </row>
    <row r="24" ht="41.8" customHeight="1" spans="1:9" x14ac:dyDescent="0.25">
      <c r="A24" s="23" t="s">
        <v>561</v>
      </c>
      <c r="B24" s="24" t="s">
        <v>2756</v>
      </c>
      <c r="C24" s="24" t="s">
        <v>2757</v>
      </c>
      <c r="D24" s="24" t="s">
        <v>2758</v>
      </c>
      <c r="E24" s="24" t="s">
        <v>2759</v>
      </c>
      <c r="F24" s="25" t="s">
        <v>14</v>
      </c>
      <c r="G24" s="25" t="s">
        <v>14</v>
      </c>
      <c r="H24" s="25" t="s">
        <v>14</v>
      </c>
      <c r="I24" s="24" t="s">
        <v>2726</v>
      </c>
    </row>
    <row r="25" ht="18" customHeight="1" spans="1:9" x14ac:dyDescent="0.25">
      <c r="A25" s="22" t="s">
        <v>2760</v>
      </c>
      <c r="B25" s="22"/>
      <c r="C25" s="22"/>
      <c r="D25" s="22"/>
      <c r="E25" s="22"/>
      <c r="F25" s="22"/>
      <c r="G25" s="22"/>
      <c r="H25" s="22"/>
      <c r="I25" s="22"/>
    </row>
    <row r="26" ht="54.4" customHeight="1" spans="1:9" x14ac:dyDescent="0.25">
      <c r="A26" s="23" t="s">
        <v>2761</v>
      </c>
      <c r="B26" s="24" t="s">
        <v>2762</v>
      </c>
      <c r="C26" s="24" t="s">
        <v>2763</v>
      </c>
      <c r="D26" s="24" t="s">
        <v>2764</v>
      </c>
      <c r="E26" s="24" t="s">
        <v>2765</v>
      </c>
      <c r="F26" s="25" t="s">
        <v>14</v>
      </c>
      <c r="G26" s="25" t="s">
        <v>14</v>
      </c>
      <c r="H26" s="25" t="s">
        <v>14</v>
      </c>
      <c r="I26" s="24" t="s">
        <v>2766</v>
      </c>
    </row>
    <row r="27" ht="67" customHeight="1" spans="1:9" x14ac:dyDescent="0.25">
      <c r="A27" s="26" t="s">
        <v>2767</v>
      </c>
      <c r="B27" s="27" t="s">
        <v>2768</v>
      </c>
      <c r="C27" s="27" t="s">
        <v>2769</v>
      </c>
      <c r="D27" s="27" t="s">
        <v>2770</v>
      </c>
      <c r="E27" s="27" t="s">
        <v>2771</v>
      </c>
      <c r="F27" s="25" t="s">
        <v>14</v>
      </c>
      <c r="G27" s="25" t="s">
        <v>14</v>
      </c>
      <c r="H27" s="25" t="s">
        <v>14</v>
      </c>
      <c r="I27" s="27" t="s">
        <v>2772</v>
      </c>
    </row>
    <row r="28" ht="18" customHeight="1" spans="1:9" x14ac:dyDescent="0.25">
      <c r="A28" s="22" t="s">
        <v>2773</v>
      </c>
      <c r="B28" s="22"/>
      <c r="C28" s="22"/>
      <c r="D28" s="22"/>
      <c r="E28" s="22"/>
      <c r="F28" s="22"/>
      <c r="G28" s="22"/>
      <c r="H28" s="22"/>
      <c r="I28" s="22"/>
    </row>
    <row r="29" ht="54.4" customHeight="1" spans="1:9" x14ac:dyDescent="0.25">
      <c r="A29" s="23" t="s">
        <v>836</v>
      </c>
      <c r="B29" s="24" t="s">
        <v>2774</v>
      </c>
      <c r="C29" s="24" t="s">
        <v>2775</v>
      </c>
      <c r="D29" s="24" t="s">
        <v>2776</v>
      </c>
      <c r="E29" s="24" t="s">
        <v>2777</v>
      </c>
      <c r="F29" s="25" t="s">
        <v>14</v>
      </c>
      <c r="G29" s="25" t="s">
        <v>14</v>
      </c>
      <c r="H29" s="25" t="s">
        <v>14</v>
      </c>
      <c r="I29" s="24" t="s">
        <v>2778</v>
      </c>
    </row>
    <row r="30" ht="18" customHeight="1" spans="1:9" x14ac:dyDescent="0.25">
      <c r="A30" s="22" t="s">
        <v>2779</v>
      </c>
      <c r="B30" s="22"/>
      <c r="C30" s="22"/>
      <c r="D30" s="22"/>
      <c r="E30" s="22"/>
      <c r="F30" s="22"/>
      <c r="G30" s="22"/>
      <c r="H30" s="22"/>
      <c r="I30" s="22"/>
    </row>
    <row r="31" ht="67" customHeight="1" spans="1:9" x14ac:dyDescent="0.25">
      <c r="A31" s="23" t="s">
        <v>839</v>
      </c>
      <c r="B31" s="24" t="s">
        <v>2780</v>
      </c>
      <c r="C31" s="24" t="s">
        <v>2781</v>
      </c>
      <c r="D31" s="24" t="s">
        <v>2782</v>
      </c>
      <c r="E31" s="24" t="s">
        <v>2783</v>
      </c>
      <c r="F31" s="25" t="s">
        <v>14</v>
      </c>
      <c r="G31" s="25" t="s">
        <v>14</v>
      </c>
      <c r="H31" s="25" t="s">
        <v>14</v>
      </c>
      <c r="I31" s="24" t="s">
        <v>2726</v>
      </c>
    </row>
    <row r="32" ht="18" customHeight="1" spans="1:9" x14ac:dyDescent="0.25">
      <c r="A32" s="22" t="s">
        <v>2784</v>
      </c>
      <c r="B32" s="22"/>
      <c r="C32" s="22"/>
      <c r="D32" s="22"/>
      <c r="E32" s="22"/>
      <c r="F32" s="22"/>
      <c r="G32" s="22"/>
      <c r="H32" s="22"/>
      <c r="I32" s="22"/>
    </row>
    <row r="33" ht="67" customHeight="1" spans="1:9" x14ac:dyDescent="0.25">
      <c r="A33" s="23" t="s">
        <v>842</v>
      </c>
      <c r="B33" s="24" t="s">
        <v>2785</v>
      </c>
      <c r="C33" s="24" t="s">
        <v>2786</v>
      </c>
      <c r="D33" s="24" t="s">
        <v>2787</v>
      </c>
      <c r="E33" s="24" t="s">
        <v>2788</v>
      </c>
      <c r="F33" s="25" t="s">
        <v>14</v>
      </c>
      <c r="G33" s="25" t="s">
        <v>14</v>
      </c>
      <c r="H33" s="25" t="s">
        <v>14</v>
      </c>
      <c r="I33" s="24" t="s">
        <v>14</v>
      </c>
    </row>
  </sheetData>
  <mergeCells count="14">
    <mergeCell ref="A2:I2"/>
    <mergeCell ref="A5:I5"/>
    <mergeCell ref="A7:I7"/>
    <mergeCell ref="A9:I9"/>
    <mergeCell ref="A11:I11"/>
    <mergeCell ref="A13:I13"/>
    <mergeCell ref="A16:I16"/>
    <mergeCell ref="A18:I18"/>
    <mergeCell ref="A21:I21"/>
    <mergeCell ref="A23:I23"/>
    <mergeCell ref="A25:I25"/>
    <mergeCell ref="A28:I28"/>
    <mergeCell ref="A30:I30"/>
    <mergeCell ref="A32:I32"/>
  </mergeCells>
  <dataValidations count="14">
    <dataValidation type="list" allowBlank="1" sqref="F10">
      <formula1>"Pass,Fail,N/A"</formula1>
    </dataValidation>
    <dataValidation type="list" allowBlank="1" sqref="F12">
      <formula1>"Pass,Fail,N/A"</formula1>
    </dataValidation>
    <dataValidation type="list" allowBlank="1" sqref="F14:F15">
      <formula1>"Pass,Fail,N/A"</formula1>
    </dataValidation>
    <dataValidation type="list" allowBlank="1" sqref="F17">
      <formula1>"Pass,Fail,N/A"</formula1>
    </dataValidation>
    <dataValidation type="list" allowBlank="1" sqref="F19:F20">
      <formula1>"Pass,Fail,N/A"</formula1>
    </dataValidation>
    <dataValidation type="list" allowBlank="1" sqref="F22">
      <formula1>"Pass,Fail,N/A"</formula1>
    </dataValidation>
    <dataValidation type="list" allowBlank="1" sqref="F24">
      <formula1>"Pass,Fail,N/A"</formula1>
    </dataValidation>
    <dataValidation type="list" allowBlank="1" sqref="F26:F27">
      <formula1>"Pass,Fail,N/A"</formula1>
    </dataValidation>
    <dataValidation type="list" allowBlank="1" sqref="F29">
      <formula1>"Pass,Fail,N/A"</formula1>
    </dataValidation>
    <dataValidation type="list" allowBlank="1" sqref="F3:F4">
      <formula1>"Pass,Fail,N/A"</formula1>
    </dataValidation>
    <dataValidation type="list" allowBlank="1" sqref="F31">
      <formula1>"Pass,Fail,N/A"</formula1>
    </dataValidation>
    <dataValidation type="list" allowBlank="1" sqref="F33">
      <formula1>"Pass,Fail,N/A"</formula1>
    </dataValidation>
    <dataValidation type="list" allowBlank="1" sqref="F6">
      <formula1>"Pass,Fail,N/A"</formula1>
    </dataValidation>
    <dataValidation type="list" allowBlank="1" sqref="F8">
      <formula1>"Pass,Fail,N/A"</formula1>
    </dataValidation>
  </dataValidation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5" width="44" customWidth="1"/>
    <col min="7" max="7" width="10" customWidth="1"/>
    <col min="8" max="8" width="12" customWidth="1"/>
    <col min="9" max="9" width="34" customWidth="1"/>
  </cols>
  <sheetData>
    <row r="1" ht="20" customHeight="1" spans="1:9" x14ac:dyDescent="0.25">
      <c r="A1" s="20" t="s">
        <v>903</v>
      </c>
      <c r="B1" s="20" t="s">
        <v>904</v>
      </c>
      <c r="C1" s="20" t="s">
        <v>905</v>
      </c>
      <c r="D1" s="20" t="s">
        <v>906</v>
      </c>
      <c r="E1" s="20" t="s">
        <v>907</v>
      </c>
      <c r="F1" s="21" t="s">
        <v>908</v>
      </c>
      <c r="G1" s="21" t="s">
        <v>909</v>
      </c>
      <c r="H1" s="21" t="s">
        <v>22</v>
      </c>
      <c r="I1" s="20" t="s">
        <v>910</v>
      </c>
    </row>
    <row r="2" ht="18" customHeight="1" spans="1:9" x14ac:dyDescent="0.25">
      <c r="A2" s="22" t="s">
        <v>2789</v>
      </c>
      <c r="B2" s="22"/>
      <c r="C2" s="22"/>
      <c r="D2" s="22"/>
      <c r="E2" s="22"/>
      <c r="F2" s="22"/>
      <c r="G2" s="22"/>
      <c r="H2" s="22"/>
      <c r="I2" s="22"/>
    </row>
    <row r="3" ht="54.4" customHeight="1" spans="1:9" x14ac:dyDescent="0.25">
      <c r="A3" s="23" t="s">
        <v>2790</v>
      </c>
      <c r="B3" s="24" t="s">
        <v>2791</v>
      </c>
      <c r="C3" s="24" t="s">
        <v>2792</v>
      </c>
      <c r="D3" s="24" t="s">
        <v>2793</v>
      </c>
      <c r="E3" s="24" t="s">
        <v>2794</v>
      </c>
      <c r="F3" s="25" t="s">
        <v>14</v>
      </c>
      <c r="G3" s="25" t="s">
        <v>14</v>
      </c>
      <c r="H3" s="25" t="s">
        <v>14</v>
      </c>
      <c r="I3" s="24" t="s">
        <v>2795</v>
      </c>
    </row>
    <row r="4" ht="54.4" customHeight="1" spans="1:9" x14ac:dyDescent="0.25">
      <c r="A4" s="26" t="s">
        <v>2796</v>
      </c>
      <c r="B4" s="27" t="s">
        <v>2797</v>
      </c>
      <c r="C4" s="27" t="s">
        <v>2798</v>
      </c>
      <c r="D4" s="27" t="s">
        <v>2799</v>
      </c>
      <c r="E4" s="27" t="s">
        <v>2800</v>
      </c>
      <c r="F4" s="25" t="s">
        <v>14</v>
      </c>
      <c r="G4" s="25" t="s">
        <v>14</v>
      </c>
      <c r="H4" s="25" t="s">
        <v>14</v>
      </c>
      <c r="I4" s="27" t="s">
        <v>2801</v>
      </c>
    </row>
    <row r="5" ht="18" customHeight="1" spans="1:9" x14ac:dyDescent="0.25">
      <c r="A5" s="22" t="s">
        <v>2802</v>
      </c>
      <c r="B5" s="22"/>
      <c r="C5" s="22"/>
      <c r="D5" s="22"/>
      <c r="E5" s="22"/>
      <c r="F5" s="22"/>
      <c r="G5" s="22"/>
      <c r="H5" s="22"/>
      <c r="I5" s="22"/>
    </row>
    <row r="6" ht="41.8" customHeight="1" spans="1:9" x14ac:dyDescent="0.25">
      <c r="A6" s="23" t="s">
        <v>2803</v>
      </c>
      <c r="B6" s="24" t="s">
        <v>2804</v>
      </c>
      <c r="C6" s="24" t="s">
        <v>2805</v>
      </c>
      <c r="D6" s="24" t="s">
        <v>2806</v>
      </c>
      <c r="E6" s="24" t="s">
        <v>2807</v>
      </c>
      <c r="F6" s="25" t="s">
        <v>14</v>
      </c>
      <c r="G6" s="25" t="s">
        <v>14</v>
      </c>
      <c r="H6" s="25" t="s">
        <v>14</v>
      </c>
      <c r="I6" s="24" t="s">
        <v>14</v>
      </c>
    </row>
    <row r="7" ht="54.4" customHeight="1" spans="1:9" x14ac:dyDescent="0.25">
      <c r="A7" s="26" t="s">
        <v>2808</v>
      </c>
      <c r="B7" s="27" t="s">
        <v>2809</v>
      </c>
      <c r="C7" s="27" t="s">
        <v>2810</v>
      </c>
      <c r="D7" s="27" t="s">
        <v>2811</v>
      </c>
      <c r="E7" s="27" t="s">
        <v>2812</v>
      </c>
      <c r="F7" s="25" t="s">
        <v>14</v>
      </c>
      <c r="G7" s="25" t="s">
        <v>14</v>
      </c>
      <c r="H7" s="25" t="s">
        <v>14</v>
      </c>
      <c r="I7" s="27" t="s">
        <v>14</v>
      </c>
    </row>
    <row r="8" ht="18" customHeight="1" spans="1:9" x14ac:dyDescent="0.25">
      <c r="A8" s="22" t="s">
        <v>2813</v>
      </c>
      <c r="B8" s="22"/>
      <c r="C8" s="22"/>
      <c r="D8" s="22"/>
      <c r="E8" s="22"/>
      <c r="F8" s="22"/>
      <c r="G8" s="22"/>
      <c r="H8" s="22"/>
      <c r="I8" s="22"/>
    </row>
    <row r="9" ht="41.8" customHeight="1" spans="1:9" x14ac:dyDescent="0.25">
      <c r="A9" s="23" t="s">
        <v>754</v>
      </c>
      <c r="B9" s="24" t="s">
        <v>2814</v>
      </c>
      <c r="C9" s="24" t="s">
        <v>2815</v>
      </c>
      <c r="D9" s="24" t="s">
        <v>2816</v>
      </c>
      <c r="E9" s="24" t="s">
        <v>2817</v>
      </c>
      <c r="F9" s="25" t="s">
        <v>14</v>
      </c>
      <c r="G9" s="25" t="s">
        <v>14</v>
      </c>
      <c r="H9" s="25" t="s">
        <v>14</v>
      </c>
      <c r="I9" s="24" t="s">
        <v>2818</v>
      </c>
    </row>
    <row r="10" ht="18" customHeight="1" spans="1:9" x14ac:dyDescent="0.25">
      <c r="A10" s="22" t="s">
        <v>2819</v>
      </c>
      <c r="B10" s="22"/>
      <c r="C10" s="22"/>
      <c r="D10" s="22"/>
      <c r="E10" s="22"/>
      <c r="F10" s="22"/>
      <c r="G10" s="22"/>
      <c r="H10" s="22"/>
      <c r="I10" s="22"/>
    </row>
    <row r="11" ht="54.4" customHeight="1" spans="1:9" x14ac:dyDescent="0.25">
      <c r="A11" s="23" t="s">
        <v>2820</v>
      </c>
      <c r="B11" s="24" t="s">
        <v>2821</v>
      </c>
      <c r="C11" s="24" t="s">
        <v>2822</v>
      </c>
      <c r="D11" s="24" t="s">
        <v>2823</v>
      </c>
      <c r="E11" s="24" t="s">
        <v>2824</v>
      </c>
      <c r="F11" s="25" t="s">
        <v>14</v>
      </c>
      <c r="G11" s="25" t="s">
        <v>14</v>
      </c>
      <c r="H11" s="25" t="s">
        <v>14</v>
      </c>
      <c r="I11" s="24" t="s">
        <v>14</v>
      </c>
    </row>
    <row r="12" ht="54.4" customHeight="1" spans="1:9" x14ac:dyDescent="0.25">
      <c r="A12" s="26" t="s">
        <v>2825</v>
      </c>
      <c r="B12" s="27" t="s">
        <v>2826</v>
      </c>
      <c r="C12" s="27" t="s">
        <v>2827</v>
      </c>
      <c r="D12" s="27" t="s">
        <v>2828</v>
      </c>
      <c r="E12" s="27" t="s">
        <v>2829</v>
      </c>
      <c r="F12" s="25" t="s">
        <v>14</v>
      </c>
      <c r="G12" s="25" t="s">
        <v>14</v>
      </c>
      <c r="H12" s="25" t="s">
        <v>14</v>
      </c>
      <c r="I12" s="27" t="s">
        <v>14</v>
      </c>
    </row>
    <row r="13" ht="18" customHeight="1" spans="1:9" x14ac:dyDescent="0.25">
      <c r="A13" s="22" t="s">
        <v>2830</v>
      </c>
      <c r="B13" s="22"/>
      <c r="C13" s="22"/>
      <c r="D13" s="22"/>
      <c r="E13" s="22"/>
      <c r="F13" s="22"/>
      <c r="G13" s="22"/>
      <c r="H13" s="22"/>
      <c r="I13" s="22"/>
    </row>
    <row r="14" ht="41.8" customHeight="1" spans="1:9" x14ac:dyDescent="0.25">
      <c r="A14" s="23" t="s">
        <v>760</v>
      </c>
      <c r="B14" s="24" t="s">
        <v>2831</v>
      </c>
      <c r="C14" s="24" t="s">
        <v>2832</v>
      </c>
      <c r="D14" s="24" t="s">
        <v>2833</v>
      </c>
      <c r="E14" s="24" t="s">
        <v>2834</v>
      </c>
      <c r="F14" s="25" t="s">
        <v>14</v>
      </c>
      <c r="G14" s="25" t="s">
        <v>14</v>
      </c>
      <c r="H14" s="25" t="s">
        <v>14</v>
      </c>
      <c r="I14" s="24" t="s">
        <v>2801</v>
      </c>
    </row>
    <row r="15" ht="18" customHeight="1" spans="1:9" x14ac:dyDescent="0.25">
      <c r="A15" s="22" t="s">
        <v>2835</v>
      </c>
      <c r="B15" s="22"/>
      <c r="C15" s="22"/>
      <c r="D15" s="22"/>
      <c r="E15" s="22"/>
      <c r="F15" s="22"/>
      <c r="G15" s="22"/>
      <c r="H15" s="22"/>
      <c r="I15" s="22"/>
    </row>
    <row r="16" ht="54.4" customHeight="1" spans="1:9" x14ac:dyDescent="0.25">
      <c r="A16" s="23" t="s">
        <v>764</v>
      </c>
      <c r="B16" s="24" t="s">
        <v>2836</v>
      </c>
      <c r="C16" s="24" t="s">
        <v>2837</v>
      </c>
      <c r="D16" s="24" t="s">
        <v>2838</v>
      </c>
      <c r="E16" s="24" t="s">
        <v>2839</v>
      </c>
      <c r="F16" s="25" t="s">
        <v>14</v>
      </c>
      <c r="G16" s="25" t="s">
        <v>14</v>
      </c>
      <c r="H16" s="25" t="s">
        <v>14</v>
      </c>
      <c r="I16" s="24" t="s">
        <v>14</v>
      </c>
    </row>
    <row r="17" ht="18" customHeight="1" spans="1:9" x14ac:dyDescent="0.25">
      <c r="A17" s="22" t="s">
        <v>2840</v>
      </c>
      <c r="B17" s="22"/>
      <c r="C17" s="22"/>
      <c r="D17" s="22"/>
      <c r="E17" s="22"/>
      <c r="F17" s="22"/>
      <c r="G17" s="22"/>
      <c r="H17" s="22"/>
      <c r="I17" s="22"/>
    </row>
    <row r="18" ht="41.8" customHeight="1" spans="1:9" x14ac:dyDescent="0.25">
      <c r="A18" s="23" t="s">
        <v>767</v>
      </c>
      <c r="B18" s="24" t="s">
        <v>2841</v>
      </c>
      <c r="C18" s="24" t="s">
        <v>2810</v>
      </c>
      <c r="D18" s="24" t="s">
        <v>2842</v>
      </c>
      <c r="E18" s="24" t="s">
        <v>2843</v>
      </c>
      <c r="F18" s="25" t="s">
        <v>14</v>
      </c>
      <c r="G18" s="25" t="s">
        <v>14</v>
      </c>
      <c r="H18" s="25" t="s">
        <v>14</v>
      </c>
      <c r="I18" s="24" t="s">
        <v>14</v>
      </c>
    </row>
    <row r="19" ht="18" customHeight="1" spans="1:9" x14ac:dyDescent="0.25">
      <c r="A19" s="22" t="s">
        <v>2844</v>
      </c>
      <c r="B19" s="22"/>
      <c r="C19" s="22"/>
      <c r="D19" s="22"/>
      <c r="E19" s="22"/>
      <c r="F19" s="22"/>
      <c r="G19" s="22"/>
      <c r="H19" s="22"/>
      <c r="I19" s="22"/>
    </row>
    <row r="20" ht="54.4" customHeight="1" spans="1:9" x14ac:dyDescent="0.25">
      <c r="A20" s="23" t="s">
        <v>770</v>
      </c>
      <c r="B20" s="24" t="s">
        <v>2845</v>
      </c>
      <c r="C20" s="24" t="s">
        <v>2846</v>
      </c>
      <c r="D20" s="24" t="s">
        <v>2847</v>
      </c>
      <c r="E20" s="24" t="s">
        <v>2848</v>
      </c>
      <c r="F20" s="25" t="s">
        <v>14</v>
      </c>
      <c r="G20" s="25" t="s">
        <v>14</v>
      </c>
      <c r="H20" s="25" t="s">
        <v>14</v>
      </c>
      <c r="I20" s="24" t="s">
        <v>2801</v>
      </c>
    </row>
    <row r="21" ht="18" customHeight="1" spans="1:9" x14ac:dyDescent="0.25">
      <c r="A21" s="22" t="s">
        <v>2849</v>
      </c>
      <c r="B21" s="22"/>
      <c r="C21" s="22"/>
      <c r="D21" s="22"/>
      <c r="E21" s="22"/>
      <c r="F21" s="22"/>
      <c r="G21" s="22"/>
      <c r="H21" s="22"/>
      <c r="I21" s="22"/>
    </row>
    <row r="22" ht="54.4" customHeight="1" spans="1:9" x14ac:dyDescent="0.25">
      <c r="A22" s="23" t="s">
        <v>773</v>
      </c>
      <c r="B22" s="24" t="s">
        <v>2850</v>
      </c>
      <c r="C22" s="24" t="s">
        <v>2851</v>
      </c>
      <c r="D22" s="24" t="s">
        <v>2852</v>
      </c>
      <c r="E22" s="24" t="s">
        <v>2853</v>
      </c>
      <c r="F22" s="25" t="s">
        <v>14</v>
      </c>
      <c r="G22" s="25" t="s">
        <v>14</v>
      </c>
      <c r="H22" s="25" t="s">
        <v>14</v>
      </c>
      <c r="I22" s="24" t="s">
        <v>2801</v>
      </c>
    </row>
    <row r="23" ht="18" customHeight="1" spans="1:9" x14ac:dyDescent="0.25">
      <c r="A23" s="22" t="s">
        <v>2854</v>
      </c>
      <c r="B23" s="22"/>
      <c r="C23" s="22"/>
      <c r="D23" s="22"/>
      <c r="E23" s="22"/>
      <c r="F23" s="22"/>
      <c r="G23" s="22"/>
      <c r="H23" s="22"/>
      <c r="I23" s="22"/>
    </row>
    <row r="24" ht="67" customHeight="1" spans="1:9" x14ac:dyDescent="0.25">
      <c r="A24" s="23" t="s">
        <v>777</v>
      </c>
      <c r="B24" s="24" t="s">
        <v>2855</v>
      </c>
      <c r="C24" s="24" t="s">
        <v>2856</v>
      </c>
      <c r="D24" s="24" t="s">
        <v>2857</v>
      </c>
      <c r="E24" s="24" t="s">
        <v>2858</v>
      </c>
      <c r="F24" s="25" t="s">
        <v>14</v>
      </c>
      <c r="G24" s="25" t="s">
        <v>14</v>
      </c>
      <c r="H24" s="25" t="s">
        <v>14</v>
      </c>
      <c r="I24" s="24" t="s">
        <v>2859</v>
      </c>
    </row>
    <row r="25" ht="18" customHeight="1" spans="1:9" x14ac:dyDescent="0.25">
      <c r="A25" s="22" t="s">
        <v>2860</v>
      </c>
      <c r="B25" s="22"/>
      <c r="C25" s="22"/>
      <c r="D25" s="22"/>
      <c r="E25" s="22"/>
      <c r="F25" s="22"/>
      <c r="G25" s="22"/>
      <c r="H25" s="22"/>
      <c r="I25" s="22"/>
    </row>
    <row r="26" ht="41.8" customHeight="1" spans="1:9" x14ac:dyDescent="0.25">
      <c r="A26" s="23" t="s">
        <v>780</v>
      </c>
      <c r="B26" s="24" t="s">
        <v>2861</v>
      </c>
      <c r="C26" s="24" t="s">
        <v>2862</v>
      </c>
      <c r="D26" s="24" t="s">
        <v>2863</v>
      </c>
      <c r="E26" s="24" t="s">
        <v>2864</v>
      </c>
      <c r="F26" s="25" t="s">
        <v>14</v>
      </c>
      <c r="G26" s="25" t="s">
        <v>14</v>
      </c>
      <c r="H26" s="25" t="s">
        <v>14</v>
      </c>
      <c r="I26" s="24" t="s">
        <v>2801</v>
      </c>
    </row>
  </sheetData>
  <mergeCells count="11">
    <mergeCell ref="A2:I2"/>
    <mergeCell ref="A5:I5"/>
    <mergeCell ref="A8:I8"/>
    <mergeCell ref="A10:I10"/>
    <mergeCell ref="A13:I13"/>
    <mergeCell ref="A15:I15"/>
    <mergeCell ref="A17:I17"/>
    <mergeCell ref="A19:I19"/>
    <mergeCell ref="A21:I21"/>
    <mergeCell ref="A23:I23"/>
    <mergeCell ref="A25:I25"/>
  </mergeCells>
  <dataValidations count="11">
    <dataValidation type="list" allowBlank="1" sqref="F11:F12">
      <formula1>"Pass,Fail,N/A"</formula1>
    </dataValidation>
    <dataValidation type="list" allowBlank="1" sqref="F14">
      <formula1>"Pass,Fail,N/A"</formula1>
    </dataValidation>
    <dataValidation type="list" allowBlank="1" sqref="F16">
      <formula1>"Pass,Fail,N/A"</formula1>
    </dataValidation>
    <dataValidation type="list" allowBlank="1" sqref="F18">
      <formula1>"Pass,Fail,N/A"</formula1>
    </dataValidation>
    <dataValidation type="list" allowBlank="1" sqref="F20">
      <formula1>"Pass,Fail,N/A"</formula1>
    </dataValidation>
    <dataValidation type="list" allowBlank="1" sqref="F22">
      <formula1>"Pass,Fail,N/A"</formula1>
    </dataValidation>
    <dataValidation type="list" allowBlank="1" sqref="F24">
      <formula1>"Pass,Fail,N/A"</formula1>
    </dataValidation>
    <dataValidation type="list" allowBlank="1" sqref="F26">
      <formula1>"Pass,Fail,N/A"</formula1>
    </dataValidation>
    <dataValidation type="list" allowBlank="1" sqref="F3:F4">
      <formula1>"Pass,Fail,N/A"</formula1>
    </dataValidation>
    <dataValidation type="list" allowBlank="1" sqref="F6:F7">
      <formula1>"Pass,Fail,N/A"</formula1>
    </dataValidation>
    <dataValidation type="list" allowBlank="1" sqref="F9">
      <formula1>"Pass,Fail,N/A"</formula1>
    </dataValidation>
  </dataValidation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FormatPr defaultRowHeight="15" outlineLevelRow="0" outlineLevelCol="0" x14ac:dyDescent="55"/>
  <cols>
    <col min="1" max="1" width="30" customWidth="1"/>
    <col min="2" max="3" width="16" customWidth="1"/>
    <col min="4" max="4" width="14" customWidth="1"/>
    <col min="5" max="6" width="10" customWidth="1"/>
  </cols>
  <sheetData>
    <row r="1" ht="26" customHeight="1" spans="1:6" x14ac:dyDescent="0.25">
      <c r="A1" s="1" t="s">
        <v>0</v>
      </c>
      <c r="B1" s="1"/>
      <c r="C1" s="1"/>
      <c r="D1" s="1"/>
      <c r="E1" s="1"/>
      <c r="F1" s="1"/>
    </row>
    <row r="2" spans="1:6" x14ac:dyDescent="0.25">
      <c r="A2" s="2" t="s">
        <v>1</v>
      </c>
      <c r="B2" s="2"/>
      <c r="C2" s="2"/>
      <c r="D2" s="2"/>
      <c r="E2" s="2"/>
      <c r="F2" s="2"/>
    </row>
    <row r="4" spans="1:6" x14ac:dyDescent="0.25">
      <c r="A4" s="3" t="s">
        <v>2</v>
      </c>
      <c r="B4" s="4" t="s">
        <v>3</v>
      </c>
      <c r="C4" s="4"/>
      <c r="D4" s="4"/>
      <c r="E4" s="4"/>
      <c r="F4" s="4"/>
    </row>
    <row r="5" spans="1:6" x14ac:dyDescent="0.25">
      <c r="A5" s="3" t="s">
        <v>4</v>
      </c>
      <c r="B5" s="4" t="s">
        <v>5</v>
      </c>
      <c r="C5" s="4"/>
      <c r="D5" s="4"/>
      <c r="E5" s="4"/>
      <c r="F5" s="4"/>
    </row>
    <row r="6" spans="1:6" x14ac:dyDescent="0.25">
      <c r="A6" s="3" t="s">
        <v>6</v>
      </c>
      <c r="B6" s="4" t="s">
        <v>7</v>
      </c>
      <c r="C6" s="4"/>
      <c r="D6" s="4"/>
      <c r="E6" s="4"/>
      <c r="F6" s="4"/>
    </row>
    <row r="7" spans="1:6" x14ac:dyDescent="0.25">
      <c r="A7" s="3" t="s">
        <v>8</v>
      </c>
      <c r="B7" s="4" t="s">
        <v>9</v>
      </c>
      <c r="C7" s="4"/>
      <c r="D7" s="4"/>
      <c r="E7" s="4"/>
      <c r="F7" s="4"/>
    </row>
    <row r="8" spans="1:6" x14ac:dyDescent="0.25">
      <c r="A8" s="3" t="s">
        <v>10</v>
      </c>
      <c r="B8" s="4" t="s">
        <v>11</v>
      </c>
      <c r="C8" s="4"/>
      <c r="D8" s="4"/>
      <c r="E8" s="4"/>
      <c r="F8" s="4"/>
    </row>
    <row r="10" ht="18" customHeight="1" spans="1:6" x14ac:dyDescent="0.25">
      <c r="A10" s="5" t="s">
        <v>12</v>
      </c>
      <c r="B10" s="5"/>
      <c r="C10" s="5"/>
      <c r="D10" s="5"/>
      <c r="E10" s="5"/>
      <c r="F10" s="5"/>
    </row>
    <row r="11" spans="1:6" x14ac:dyDescent="0.25">
      <c r="A11" s="6" t="s">
        <v>13</v>
      </c>
      <c r="B11" s="7" t="s">
        <v>14</v>
      </c>
      <c r="C11" s="7"/>
      <c r="D11" s="7"/>
      <c r="E11" s="7"/>
      <c r="F11" s="7"/>
    </row>
    <row r="12" spans="1:6" x14ac:dyDescent="0.25">
      <c r="A12" s="6" t="s">
        <v>15</v>
      </c>
      <c r="B12" s="7" t="s">
        <v>14</v>
      </c>
      <c r="C12" s="7"/>
      <c r="D12" s="7"/>
      <c r="E12" s="7"/>
      <c r="F12" s="7"/>
    </row>
    <row r="13" spans="1:6" x14ac:dyDescent="0.25">
      <c r="A13" s="6" t="s">
        <v>16</v>
      </c>
      <c r="B13" s="7" t="s">
        <v>14</v>
      </c>
      <c r="C13" s="7"/>
      <c r="D13" s="7"/>
      <c r="E13" s="7"/>
      <c r="F13" s="7"/>
    </row>
    <row r="14" spans="1:6" x14ac:dyDescent="0.25">
      <c r="A14" s="6" t="s">
        <v>17</v>
      </c>
      <c r="B14" s="7" t="s">
        <v>14</v>
      </c>
      <c r="C14" s="7"/>
      <c r="D14" s="7"/>
      <c r="E14" s="7"/>
      <c r="F14" s="7"/>
    </row>
    <row r="16" ht="18" customHeight="1" spans="1:6" x14ac:dyDescent="0.25">
      <c r="A16" s="5" t="s">
        <v>18</v>
      </c>
      <c r="B16" s="5"/>
      <c r="C16" s="5"/>
      <c r="D16" s="5"/>
      <c r="E16" s="5"/>
      <c r="F16" s="5"/>
    </row>
    <row r="17" spans="1:6" x14ac:dyDescent="0.25">
      <c r="A17" s="8" t="s">
        <v>19</v>
      </c>
      <c r="B17" s="8" t="s">
        <v>20</v>
      </c>
      <c r="C17" s="8"/>
      <c r="D17" s="8" t="s">
        <v>21</v>
      </c>
      <c r="E17" s="8" t="s">
        <v>22</v>
      </c>
      <c r="F17" s="8"/>
    </row>
    <row r="18" ht="24" customHeight="1" spans="1:6" x14ac:dyDescent="0.25">
      <c r="A18" s="9" t="s">
        <v>23</v>
      </c>
      <c r="B18" s="10" t="s">
        <v>14</v>
      </c>
      <c r="C18" s="10"/>
      <c r="D18" s="10" t="s">
        <v>14</v>
      </c>
      <c r="E18" s="10" t="s">
        <v>14</v>
      </c>
      <c r="F18" s="10"/>
    </row>
    <row r="19" ht="24" customHeight="1" spans="1:6" x14ac:dyDescent="0.25">
      <c r="A19" s="9" t="s">
        <v>24</v>
      </c>
      <c r="B19" s="10" t="s">
        <v>14</v>
      </c>
      <c r="C19" s="10"/>
      <c r="D19" s="10" t="s">
        <v>14</v>
      </c>
      <c r="E19" s="10" t="s">
        <v>14</v>
      </c>
      <c r="F19" s="10"/>
    </row>
    <row r="20" ht="24" customHeight="1" spans="1:6" x14ac:dyDescent="0.25">
      <c r="A20" s="9" t="s">
        <v>25</v>
      </c>
      <c r="B20" s="10" t="s">
        <v>14</v>
      </c>
      <c r="C20" s="10"/>
      <c r="D20" s="10" t="s">
        <v>14</v>
      </c>
      <c r="E20" s="10" t="s">
        <v>14</v>
      </c>
      <c r="F20" s="10"/>
    </row>
    <row r="22" ht="18" customHeight="1" spans="1:6" x14ac:dyDescent="0.25">
      <c r="A22" s="5" t="s">
        <v>26</v>
      </c>
      <c r="B22" s="5"/>
      <c r="C22" s="5"/>
      <c r="D22" s="5"/>
      <c r="E22" s="5"/>
      <c r="F22" s="5"/>
    </row>
    <row r="23" spans="1:6" x14ac:dyDescent="0.25">
      <c r="A23" s="8" t="s">
        <v>27</v>
      </c>
      <c r="B23" s="8" t="s">
        <v>28</v>
      </c>
      <c r="C23" s="8" t="s">
        <v>29</v>
      </c>
      <c r="D23" s="8" t="s">
        <v>30</v>
      </c>
      <c r="E23" s="8" t="s">
        <v>31</v>
      </c>
      <c r="F23" s="8" t="s">
        <v>32</v>
      </c>
    </row>
    <row r="24" spans="1:6" x14ac:dyDescent="0.25">
      <c r="A24" s="11" t="s">
        <v>33</v>
      </c>
      <c r="B24" s="12">
        <v>27</v>
      </c>
      <c r="C24" s="12">
        <f>COUNTIF('Environment &amp; Platform'!F:F,"Pass")</f>
      </c>
      <c r="D24" s="12">
        <f>COUNTIF('Environment &amp; Platform'!F:F,"Fail")</f>
      </c>
      <c r="E24" s="12">
        <f>COUNTIF('Environment &amp; Platform'!F:F,"N/A")</f>
      </c>
      <c r="F24" s="12">
        <f>B24-C24-D24-E24</f>
      </c>
    </row>
    <row r="25" spans="1:6" x14ac:dyDescent="0.25">
      <c r="A25" s="11" t="s">
        <v>34</v>
      </c>
      <c r="B25" s="12">
        <v>14</v>
      </c>
      <c r="C25" s="12">
        <f>COUNTIF('Plant Hierarchy'!F:F,"Pass")</f>
      </c>
      <c r="D25" s="12">
        <f>COUNTIF('Plant Hierarchy'!F:F,"Fail")</f>
      </c>
      <c r="E25" s="12">
        <f>COUNTIF('Plant Hierarchy'!F:F,"N/A")</f>
      </c>
      <c r="F25" s="12">
        <f>B25-C25-D25-E25</f>
      </c>
    </row>
    <row r="26" spans="1:6" x14ac:dyDescent="0.25">
      <c r="A26" s="11" t="s">
        <v>35</v>
      </c>
      <c r="B26" s="12">
        <v>8</v>
      </c>
      <c r="C26" s="12">
        <f>COUNTIF('Item Master'!F:F,"Pass")</f>
      </c>
      <c r="D26" s="12">
        <f>COUNTIF('Item Master'!F:F,"Fail")</f>
      </c>
      <c r="E26" s="12">
        <f>COUNTIF('Item Master'!F:F,"N/A")</f>
      </c>
      <c r="F26" s="12">
        <f>B26-C26-D26-E26</f>
      </c>
    </row>
    <row r="27" spans="1:6" x14ac:dyDescent="0.25">
      <c r="A27" s="11" t="s">
        <v>36</v>
      </c>
      <c r="B27" s="12">
        <v>12</v>
      </c>
      <c r="C27" s="12">
        <f>COUNTIF('Routes &amp; BOMs'!F:F,"Pass")</f>
      </c>
      <c r="D27" s="12">
        <f>COUNTIF('Routes &amp; BOMs'!F:F,"Fail")</f>
      </c>
      <c r="E27" s="12">
        <f>COUNTIF('Routes &amp; BOMs'!F:F,"N/A")</f>
      </c>
      <c r="F27" s="12">
        <f>B27-C27-D27-E27</f>
      </c>
    </row>
    <row r="28" spans="1:6" x14ac:dyDescent="0.25">
      <c r="A28" s="11" t="s">
        <v>37</v>
      </c>
      <c r="B28" s="12">
        <v>9</v>
      </c>
      <c r="C28" s="12">
        <f>COUNTIF('Op Templates &amp; Quality Specs'!F:F,"Pass")</f>
      </c>
      <c r="D28" s="12">
        <f>COUNTIF('Op Templates &amp; Quality Specs'!F:F,"Fail")</f>
      </c>
      <c r="E28" s="12">
        <f>COUNTIF('Op Templates &amp; Quality Specs'!F:F,"N/A")</f>
      </c>
      <c r="F28" s="12">
        <f>B28-C28-D28-E28</f>
      </c>
    </row>
    <row r="29" spans="1:6" x14ac:dyDescent="0.25">
      <c r="A29" s="11" t="s">
        <v>38</v>
      </c>
      <c r="B29" s="12">
        <v>7</v>
      </c>
      <c r="C29" s="12">
        <f>COUNTIF('Container Configs'!F:F,"Pass")</f>
      </c>
      <c r="D29" s="12">
        <f>COUNTIF('Container Configs'!F:F,"Fail")</f>
      </c>
      <c r="E29" s="12">
        <f>COUNTIF('Container Configs'!F:F,"N/A")</f>
      </c>
      <c r="F29" s="12">
        <f>B29-C29-D29-E29</f>
      </c>
    </row>
    <row r="30" spans="1:6" x14ac:dyDescent="0.25">
      <c r="A30" s="11" t="s">
        <v>39</v>
      </c>
      <c r="B30" s="12">
        <v>10</v>
      </c>
      <c r="C30" s="12">
        <f>COUNTIF('Code Tables'!F:F,"Pass")</f>
      </c>
      <c r="D30" s="12">
        <f>COUNTIF('Code Tables'!F:F,"Fail")</f>
      </c>
      <c r="E30" s="12">
        <f>COUNTIF('Code Tables'!F:F,"N/A")</f>
      </c>
      <c r="F30" s="12">
        <f>B30-C30-D30-E30</f>
      </c>
    </row>
    <row r="31" spans="1:6" x14ac:dyDescent="0.25">
      <c r="A31" s="11" t="s">
        <v>40</v>
      </c>
      <c r="B31" s="12">
        <v>8</v>
      </c>
      <c r="C31" s="12">
        <f>COUNTIF('Shift Schedules'!F:F,"Pass")</f>
      </c>
      <c r="D31" s="12">
        <f>COUNTIF('Shift Schedules'!F:F,"Fail")</f>
      </c>
      <c r="E31" s="12">
        <f>COUNTIF('Shift Schedules'!F:F,"N/A")</f>
      </c>
      <c r="F31" s="12">
        <f>B31-C31-D31-E31</f>
      </c>
    </row>
    <row r="32" spans="1:6" x14ac:dyDescent="0.25">
      <c r="A32" s="11" t="s">
        <v>41</v>
      </c>
      <c r="B32" s="12">
        <v>23</v>
      </c>
      <c r="C32" s="12">
        <f>COUNTIF('PLC Device Mapping'!F:F,"Pass")</f>
      </c>
      <c r="D32" s="12">
        <f>COUNTIF('PLC Device Mapping'!F:F,"Fail")</f>
      </c>
      <c r="E32" s="12">
        <f>COUNTIF('PLC Device Mapping'!F:F,"N/A")</f>
      </c>
      <c r="F32" s="12">
        <f>B32-C32-D32-E32</f>
      </c>
    </row>
    <row r="33" spans="1:6" x14ac:dyDescent="0.25">
      <c r="A33" s="11" t="s">
        <v>42</v>
      </c>
      <c r="B33" s="12">
        <v>19</v>
      </c>
      <c r="C33" s="12">
        <f>COUNTIF('Users &amp; Attribution'!F:F,"Pass")</f>
      </c>
      <c r="D33" s="12">
        <f>COUNTIF('Users &amp; Attribution'!F:F,"Fail")</f>
      </c>
      <c r="E33" s="12">
        <f>COUNTIF('Users &amp; Attribution'!F:F,"N/A")</f>
      </c>
      <c r="F33" s="12">
        <f>B33-C33-D33-E33</f>
      </c>
    </row>
    <row r="34" spans="1:6" x14ac:dyDescent="0.25">
      <c r="A34" s="11" t="s">
        <v>43</v>
      </c>
      <c r="B34" s="12">
        <v>16</v>
      </c>
      <c r="C34" s="12">
        <f>COUNTIF('Terminal &amp; Login'!F:F,"Pass")</f>
      </c>
      <c r="D34" s="12">
        <f>COUNTIF('Terminal &amp; Login'!F:F,"Fail")</f>
      </c>
      <c r="E34" s="12">
        <f>COUNTIF('Terminal &amp; Login'!F:F,"N/A")</f>
      </c>
      <c r="F34" s="12">
        <f>B34-C34-D34-E34</f>
      </c>
    </row>
    <row r="35" spans="1:6" x14ac:dyDescent="0.25">
      <c r="A35" s="11" t="s">
        <v>44</v>
      </c>
      <c r="B35" s="12">
        <v>20</v>
      </c>
      <c r="C35" s="12">
        <f>COUNTIF('Die Cast'!F:F,"Pass")</f>
      </c>
      <c r="D35" s="12">
        <f>COUNTIF('Die Cast'!F:F,"Fail")</f>
      </c>
      <c r="E35" s="12">
        <f>COUNTIF('Die Cast'!F:F,"N/A")</f>
      </c>
      <c r="F35" s="12">
        <f>B35-C35-D35-E35</f>
      </c>
    </row>
    <row r="36" spans="1:6" x14ac:dyDescent="0.25">
      <c r="A36" s="11" t="s">
        <v>45</v>
      </c>
      <c r="B36" s="12">
        <v>9</v>
      </c>
      <c r="C36" s="12">
        <f>COUNTIF('Trim'!F:F,"Pass")</f>
      </c>
      <c r="D36" s="12">
        <f>COUNTIF('Trim'!F:F,"Fail")</f>
      </c>
      <c r="E36" s="12">
        <f>COUNTIF('Trim'!F:F,"N/A")</f>
      </c>
      <c r="F36" s="12">
        <f>B36-C36-D36-E36</f>
      </c>
    </row>
    <row r="37" spans="1:6" x14ac:dyDescent="0.25">
      <c r="A37" s="11" t="s">
        <v>46</v>
      </c>
      <c r="B37" s="12">
        <v>20</v>
      </c>
      <c r="C37" s="12">
        <f>COUNTIF('Machining'!F:F,"Pass")</f>
      </c>
      <c r="D37" s="12">
        <f>COUNTIF('Machining'!F:F,"Fail")</f>
      </c>
      <c r="E37" s="12">
        <f>COUNTIF('Machining'!F:F,"N/A")</f>
      </c>
      <c r="F37" s="12">
        <f>B37-C37-D37-E37</f>
      </c>
    </row>
    <row r="38" spans="1:6" x14ac:dyDescent="0.25">
      <c r="A38" s="11" t="s">
        <v>47</v>
      </c>
      <c r="B38" s="12">
        <v>24</v>
      </c>
      <c r="C38" s="12">
        <f>COUNTIF('Assembly'!F:F,"Pass")</f>
      </c>
      <c r="D38" s="12">
        <f>COUNTIF('Assembly'!F:F,"Fail")</f>
      </c>
      <c r="E38" s="12">
        <f>COUNTIF('Assembly'!F:F,"N/A")</f>
      </c>
      <c r="F38" s="12">
        <f>B38-C38-D38-E38</f>
      </c>
    </row>
    <row r="39" spans="1:6" x14ac:dyDescent="0.25">
      <c r="A39" s="11" t="s">
        <v>48</v>
      </c>
      <c r="B39" s="12">
        <v>4</v>
      </c>
      <c r="C39" s="12">
        <f>COUNTIF('Third-Party Inspection'!F:F,"Pass")</f>
      </c>
      <c r="D39" s="12">
        <f>COUNTIF('Third-Party Inspection'!F:F,"Fail")</f>
      </c>
      <c r="E39" s="12">
        <f>COUNTIF('Third-Party Inspection'!F:F,"N/A")</f>
      </c>
      <c r="F39" s="12">
        <f>B39-C39-D39-E39</f>
      </c>
    </row>
    <row r="40" spans="1:6" x14ac:dyDescent="0.25">
      <c r="A40" s="11" t="s">
        <v>49</v>
      </c>
      <c r="B40" s="12">
        <v>25</v>
      </c>
      <c r="C40" s="12">
        <f>COUNTIF('Quality Capture &amp; Holds'!F:F,"Pass")</f>
      </c>
      <c r="D40" s="12">
        <f>COUNTIF('Quality Capture &amp; Holds'!F:F,"Fail")</f>
      </c>
      <c r="E40" s="12">
        <f>COUNTIF('Quality Capture &amp; Holds'!F:F,"N/A")</f>
      </c>
      <c r="F40" s="12">
        <f>B40-C40-D40-E40</f>
      </c>
    </row>
    <row r="41" spans="1:6" x14ac:dyDescent="0.25">
      <c r="A41" s="11" t="s">
        <v>50</v>
      </c>
      <c r="B41" s="12">
        <v>22</v>
      </c>
      <c r="C41" s="12">
        <f>COUNTIF('Movements &amp; Inventory'!F:F,"Pass")</f>
      </c>
      <c r="D41" s="12">
        <f>COUNTIF('Movements &amp; Inventory'!F:F,"Fail")</f>
      </c>
      <c r="E41" s="12">
        <f>COUNTIF('Movements &amp; Inventory'!F:F,"N/A")</f>
      </c>
      <c r="F41" s="12">
        <f>B41-C41-D41-E41</f>
      </c>
    </row>
    <row r="42" spans="1:6" x14ac:dyDescent="0.25">
      <c r="A42" s="11" t="s">
        <v>51</v>
      </c>
      <c r="B42" s="12">
        <v>35</v>
      </c>
      <c r="C42" s="12">
        <f>COUNTIF('LOT Traceability &amp; Genealogy'!F:F,"Pass")</f>
      </c>
      <c r="D42" s="12">
        <f>COUNTIF('LOT Traceability &amp; Genealogy'!F:F,"Fail")</f>
      </c>
      <c r="E42" s="12">
        <f>COUNTIF('LOT Traceability &amp; Genealogy'!F:F,"N/A")</f>
      </c>
      <c r="F42" s="12">
        <f>B42-C42-D42-E42</f>
      </c>
    </row>
    <row r="43" spans="1:6" x14ac:dyDescent="0.25">
      <c r="A43" s="11" t="s">
        <v>52</v>
      </c>
      <c r="B43" s="12">
        <v>23</v>
      </c>
      <c r="C43" s="12">
        <f>COUNTIF('Shift &amp; Downtime'!F:F,"Pass")</f>
      </c>
      <c r="D43" s="12">
        <f>COUNTIF('Shift &amp; Downtime'!F:F,"Fail")</f>
      </c>
      <c r="E43" s="12">
        <f>COUNTIF('Shift &amp; Downtime'!F:F,"N/A")</f>
      </c>
      <c r="F43" s="12">
        <f>B43-C43-D43-E43</f>
      </c>
    </row>
    <row r="44" spans="1:6" x14ac:dyDescent="0.25">
      <c r="A44" s="11" t="s">
        <v>53</v>
      </c>
      <c r="B44" s="12">
        <v>18</v>
      </c>
      <c r="C44" s="12">
        <f>COUNTIF('Labels &amp; Printing'!F:F,"Pass")</f>
      </c>
      <c r="D44" s="12">
        <f>COUNTIF('Labels &amp; Printing'!F:F,"Fail")</f>
      </c>
      <c r="E44" s="12">
        <f>COUNTIF('Labels &amp; Printing'!F:F,"N/A")</f>
      </c>
      <c r="F44" s="12">
        <f>B44-C44-D44-E44</f>
      </c>
    </row>
    <row r="45" spans="1:6" x14ac:dyDescent="0.25">
      <c r="A45" s="11" t="s">
        <v>54</v>
      </c>
      <c r="B45" s="12">
        <v>14</v>
      </c>
      <c r="C45" s="12">
        <f>COUNTIF('Audit Browser'!F:F,"Pass")</f>
      </c>
      <c r="D45" s="12">
        <f>COUNTIF('Audit Browser'!F:F,"Fail")</f>
      </c>
      <c r="E45" s="12">
        <f>COUNTIF('Audit Browser'!F:F,"N/A")</f>
      </c>
      <c r="F45" s="12">
        <f>B45-C45-D45-E45</f>
      </c>
    </row>
  </sheetData>
  <mergeCells count="22">
    <mergeCell ref="A1:F1"/>
    <mergeCell ref="A2:F2"/>
    <mergeCell ref="B4:F4"/>
    <mergeCell ref="B5:F5"/>
    <mergeCell ref="B6:F6"/>
    <mergeCell ref="B7:F7"/>
    <mergeCell ref="B8:F8"/>
    <mergeCell ref="A10:F10"/>
    <mergeCell ref="B11:F11"/>
    <mergeCell ref="B12:F12"/>
    <mergeCell ref="B13:F13"/>
    <mergeCell ref="B14:F14"/>
    <mergeCell ref="A16:F16"/>
    <mergeCell ref="B17:C17"/>
    <mergeCell ref="E17:F17"/>
    <mergeCell ref="B18:C18"/>
    <mergeCell ref="E18:F18"/>
    <mergeCell ref="B19:C19"/>
    <mergeCell ref="E19:F19"/>
    <mergeCell ref="B20:C20"/>
    <mergeCell ref="E20:F20"/>
    <mergeCell ref="A22:F2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vt:lpstr>
      <vt:lpstr>Coverage</vt:lpstr>
      <vt:lpstr>Environment &amp; Platform</vt:lpstr>
      <vt:lpstr>Plant Hierarchy</vt:lpstr>
      <vt:lpstr>Item Master</vt:lpstr>
      <vt:lpstr>Routes &amp; BOMs</vt:lpstr>
      <vt:lpstr>Op Templates &amp; Quality Specs</vt:lpstr>
      <vt:lpstr>Container Configs</vt:lpstr>
      <vt:lpstr>Code Tables</vt:lpstr>
      <vt:lpstr>Shift Schedules</vt:lpstr>
      <vt:lpstr>PLC Device Mapping</vt:lpstr>
      <vt:lpstr>Users &amp; Attribution</vt:lpstr>
      <vt:lpstr>Terminal &amp; Login</vt:lpstr>
      <vt:lpstr>Die Cast</vt:lpstr>
      <vt:lpstr>Trim</vt:lpstr>
      <vt:lpstr>Machining</vt:lpstr>
      <vt:lpstr>Assembly</vt:lpstr>
      <vt:lpstr>Third-Party Inspection</vt:lpstr>
      <vt:lpstr>Quality Capture &amp; Holds</vt:lpstr>
      <vt:lpstr>Movements &amp; Inventory</vt:lpstr>
      <vt:lpstr>LOT Traceability &amp; Genealogy</vt:lpstr>
      <vt:lpstr>Shift &amp; Downtime</vt:lpstr>
      <vt:lpstr>Labels &amp; Printing</vt:lpstr>
      <vt:lpstr>Audit Browser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MPP FAT builder</dc:creator>
  <dc:title/>
  <dc:subject/>
  <dc:description/>
  <cp:keywords/>
  <cp:category/>
  <cp:lastModifiedBy>Unknown</cp:lastModifiedBy>
  <dcterms:created xsi:type="dcterms:W3CDTF">1970-01-01T00:00:00Z</dcterms:created>
  <dcterms:modified xsi:type="dcterms:W3CDTF">2026-08-03T17:15:54Z</dcterms:modified>
</cp:coreProperties>
</file>