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cquesPotgieter\Documents\Dev\MPP\reference\"/>
    </mc:Choice>
  </mc:AlternateContent>
  <xr:revisionPtr revIDLastSave="0" documentId="13_ncr:1_{790663E3-885B-4CB9-8641-7916220CA84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 Me" sheetId="1" r:id="rId1"/>
    <sheet name="Parts" sheetId="2" r:id="rId2"/>
    <sheet name="Packaging" sheetId="3" r:id="rId3"/>
    <sheet name="B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 a="1"/>
  <c r="A7" i="4" s="1"/>
  <c r="A8" i="4" a="1"/>
  <c r="A8" i="4" s="1"/>
  <c r="A9" i="4" a="1"/>
  <c r="A9" i="4" s="1"/>
  <c r="A10" i="4" a="1"/>
  <c r="A10" i="4" s="1"/>
  <c r="A11" i="4" a="1"/>
  <c r="A11" i="4" s="1"/>
  <c r="A12" i="4" a="1"/>
  <c r="A12" i="4" s="1"/>
  <c r="A13" i="4" a="1"/>
  <c r="A13" i="4" s="1"/>
  <c r="A14" i="4" a="1"/>
  <c r="A14" i="4" s="1"/>
  <c r="A15" i="4" a="1"/>
  <c r="A15" i="4" s="1"/>
  <c r="A16" i="4" a="1"/>
  <c r="A16" i="4" s="1"/>
  <c r="A17" i="4" a="1"/>
  <c r="A17" i="4" s="1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 s="1"/>
  <c r="A26" i="4" a="1"/>
  <c r="A26" i="4" s="1"/>
  <c r="A27" i="4" a="1"/>
  <c r="A27" i="4" s="1"/>
  <c r="A28" i="4" a="1"/>
  <c r="A28" i="4" s="1"/>
  <c r="A29" i="4" a="1"/>
  <c r="A29" i="4" s="1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 s="1"/>
  <c r="A38" i="4" a="1"/>
  <c r="A38" i="4" s="1"/>
  <c r="A39" i="4" a="1"/>
  <c r="A39" i="4" s="1"/>
  <c r="A40" i="4" a="1"/>
  <c r="A40" i="4" s="1"/>
  <c r="A41" i="4" a="1"/>
  <c r="A41" i="4" s="1"/>
  <c r="A42" i="4" a="1"/>
  <c r="A42" i="4" s="1"/>
  <c r="A43" i="4" a="1"/>
  <c r="A43" i="4" s="1"/>
  <c r="A44" i="4" a="1"/>
  <c r="A44" i="4" s="1"/>
  <c r="A45" i="4" a="1"/>
  <c r="A45" i="4" s="1"/>
  <c r="A46" i="4" a="1"/>
  <c r="A46" i="4" s="1"/>
  <c r="A47" i="4" a="1"/>
  <c r="A47" i="4" s="1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3" i="4" a="1"/>
  <c r="A3" i="4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<sst xmlns="http://schemas.openxmlformats.org/spreadsheetml/2006/main" count="135" uniqueCount="96">
  <si>
    <t>MPP Part Data Collection Template</t>
  </si>
  <si>
    <t>Madison Precision Products   /   for the new Ignition MES</t>
  </si>
  <si>
    <t>Purpose</t>
  </si>
  <si>
    <t>Capture the CURRENT, authoritative part list and its configuration so it can be loaded into the new MES. The legacy MES does not deprecate old parts/BOMs, and many active parts live only in the 3rd-party app. This sheet is where you tell us what is real, what is retired, and where each part's data actually lives.</t>
  </si>
  <si>
    <t>How to fill it in</t>
  </si>
  <si>
    <t>Fill one row per part on the 'Parts' tab. Add packaging rules on the 'Packaging' tab (finished / shippable parts only). List assembly make-up on the 'BOM' tab. Grey/italic EXAMPLE rows show the expected format - delete them before returning. Cells with a drop-down arrow have a fixed list; please pick from it.</t>
  </si>
  <si>
    <t>* Required</t>
  </si>
  <si>
    <t>Columns marked * in the header must be filled for every row.</t>
  </si>
  <si>
    <t>Currently Active?</t>
  </si>
  <si>
    <t>THE key question. Because the legacy system never retired parts, tell us Yes = still produced/valid, No = dead/obsolete. We only load the active set.</t>
  </si>
  <si>
    <t>Source of Truth</t>
  </si>
  <si>
    <t>Where the real data for this part lives today: 'Legacy MES', '3rd-Party App', or 'Both'. This is how we know which system to trust when they disagree.</t>
  </si>
  <si>
    <t>Macola / 3rd-Party Part #</t>
  </si>
  <si>
    <t>If the part is tracked in the 3rd-party app (or Macola ERP) under a different number, put that number here so we can cross-reference.</t>
  </si>
  <si>
    <t>Field</t>
  </si>
  <si>
    <t>Meaning</t>
  </si>
  <si>
    <t>Item Type</t>
  </si>
  <si>
    <t>RawMaterial  /  Component  /  SubAssembly  /  FinishedGood  /  PassThrough. (Castings = Component; purchased hardware = Component; the final shippable part = FinishedGood.)</t>
  </si>
  <si>
    <t>Unit of Measure</t>
  </si>
  <si>
    <t>How the part is counted: EA (each)  /  PCS (pieces)  /  LB  /  KG  /  IN  /  MM.</t>
  </si>
  <si>
    <t>Parts Per Basket</t>
  </si>
  <si>
    <t>Max pieces in a production LOT/basket for this part (the 'Parts Per Basket' value from the current system).</t>
  </si>
  <si>
    <t>Default Sub-Lot Qty</t>
  </si>
  <si>
    <t>For machined parts: the qty a machining-out sub-lot is split into. Leave blank if not applicable.</t>
  </si>
  <si>
    <t>Trays Per Container / Parts Per Tray</t>
  </si>
  <si>
    <t>Honda packing rule for shippable parts: how many trays make a full container, and how many parts fill one tray.</t>
  </si>
  <si>
    <t>Closure Method</t>
  </si>
  <si>
    <t>How a tray is confirmed complete: ByCount (operator count)  /  ByWeight (scale check)  /  ByVision (camera). Give Target Weight only when ByWeight.</t>
  </si>
  <si>
    <t>Serialized?</t>
  </si>
  <si>
    <t>Yes if each piece carries a unique serial number (e.g., the 5G0 serialized line).</t>
  </si>
  <si>
    <t>Dunnage Code / Customer Code</t>
  </si>
  <si>
    <t>Returnable dunnage code and the Honda customer/plant code for the packed container, if known.</t>
  </si>
  <si>
    <t>BOM: Qty Per</t>
  </si>
  <si>
    <t>How many of the component go into ONE parent part.</t>
  </si>
  <si>
    <t>Questions?</t>
  </si>
  <si>
    <t>Send the completed workbook back to Blue Ridge Automation. Contact your Blue Ridge project lead with any questions.</t>
  </si>
  <si>
    <t>One row per part. Grey EXAMPLE rows show the format - delete them before returning. Columns marked * are required.</t>
  </si>
  <si>
    <t>Part Number *</t>
  </si>
  <si>
    <t>Description</t>
  </si>
  <si>
    <t>Item Type *</t>
  </si>
  <si>
    <t>Program</t>
  </si>
  <si>
    <t>Customer</t>
  </si>
  <si>
    <t>Unit of Measure *</t>
  </si>
  <si>
    <t>Unit Weight</t>
  </si>
  <si>
    <t>Weight UoM</t>
  </si>
  <si>
    <t>Source of Truth *</t>
  </si>
  <si>
    <t>Currently Active? *</t>
  </si>
  <si>
    <t>Notes</t>
  </si>
  <si>
    <t>1223A-59B -A0002</t>
  </si>
  <si>
    <t>59B Cam-Rocker Holder Set</t>
  </si>
  <si>
    <t>FinishedGood</t>
  </si>
  <si>
    <t>59B</t>
  </si>
  <si>
    <t>Honda</t>
  </si>
  <si>
    <t>EA</t>
  </si>
  <si>
    <t>LB</t>
  </si>
  <si>
    <t>1223A59B</t>
  </si>
  <si>
    <t>Both</t>
  </si>
  <si>
    <t>Yes</t>
  </si>
  <si>
    <t>12231-59B-0000</t>
  </si>
  <si>
    <t>59B Cam Holder IN #1 Casting</t>
  </si>
  <si>
    <t>Component</t>
  </si>
  <si>
    <t>Legacy MES</t>
  </si>
  <si>
    <t>Finished / shippable parts only - the Honda packing rule per part. Part Number must match a row on the Parts tab.</t>
  </si>
  <si>
    <t>Trays Per Container *</t>
  </si>
  <si>
    <t>Parts Per Tray *</t>
  </si>
  <si>
    <t>Target Weight (if ByWeight)</t>
  </si>
  <si>
    <t>Dunnage Code</t>
  </si>
  <si>
    <t>Customer Code</t>
  </si>
  <si>
    <t>No</t>
  </si>
  <si>
    <t>ByWeight</t>
  </si>
  <si>
    <t>HND-DUN-59B</t>
  </si>
  <si>
    <t>HCM</t>
  </si>
  <si>
    <t>5G0-FG</t>
  </si>
  <si>
    <t>ByCount</t>
  </si>
  <si>
    <t>Assembly make-up: one row per component in a parent. Repeat the parent for each component. Both part numbers must exist on the Parts tab.</t>
  </si>
  <si>
    <t>Parent Part Number *</t>
  </si>
  <si>
    <t>Component Part Number *</t>
  </si>
  <si>
    <t>Qty Per *</t>
  </si>
  <si>
    <t>90701-5R0-3000</t>
  </si>
  <si>
    <t>EXAMPLE - for reference. Weight-validated tray close</t>
  </si>
  <si>
    <t>EXAMPLE - for reference. Serialized MIP line</t>
  </si>
  <si>
    <t>EXAMPLE - for reference. One casting per set</t>
  </si>
  <si>
    <t>EXAMPLE - for reference. 19 dowel pins per set</t>
  </si>
  <si>
    <t>EXAMPLE - for reference. Assembled at MA2-59B; see Packaging + BOM tabs</t>
  </si>
  <si>
    <t>EXAMPLE - for reference. Die Cast DC2 -&gt; Trim -&gt; Machining</t>
  </si>
  <si>
    <t>Dowel Pin 8x14 (purchased hardware)</t>
  </si>
  <si>
    <t>3rd-Party App</t>
  </si>
  <si>
    <t>EXAMPLE - for reference. Purchased; 19 used per Cam-Rocker Set</t>
  </si>
  <si>
    <t>5G0 Sensor Housing (serialized)</t>
  </si>
  <si>
    <t>5G0</t>
  </si>
  <si>
    <t>5G0FG</t>
  </si>
  <si>
    <t>EXAMPLE - for reference. Serialized MIP line; see Packaging tab</t>
  </si>
  <si>
    <t>Camera</t>
  </si>
  <si>
    <t>Pins consumed</t>
  </si>
  <si>
    <t>casting consumed</t>
  </si>
  <si>
    <t>Just an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</si>
</sst>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i/>
      <sz val="10"/>
      <color rgb="FF555555"/>
      <name val="Arial"/>
    </font>
    <font>
      <b/>
      <sz val="10"/>
      <color rgb="FF1F3864"/>
      <name val="Arial"/>
    </font>
    <font>
      <sz val="10"/>
      <color rgb="FF333333"/>
      <name val="Arial"/>
    </font>
    <font>
      <b/>
      <sz val="10"/>
      <color rgb="FF000000"/>
      <name val="Arial"/>
    </font>
    <font>
      <i/>
      <sz val="10"/>
      <color rgb="FF7F6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8" fillId="0" borderId="1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5" borderId="2" xfId="0" applyFont="1" applyFill="1" applyBorder="1" applyAlignment="1">
      <alignment vertical="top" wrapText="1"/>
    </xf>
    <xf numFmtId="0" fontId="9" fillId="0" borderId="1" xfId="0" applyFont="1" applyBorder="1"/>
    <xf numFmtId="0" fontId="10" fillId="0" borderId="1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6" fillId="6" borderId="1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D1A3AB-4DB8-4431-80EC-0D1042F0E8B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c9dc559-cb4a-4eef-9bd8-e02ebc9ac30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topLeftCell="A3" workbookViewId="0">
      <selection activeCell="C28" sqref="C28"/>
    </sheetView>
  </sheetViews>
  <sheetFormatPr defaultRowHeight="15" x14ac:dyDescent="0.25"/>
  <cols>
    <col min="1" max="1" width="3" customWidth="1"/>
    <col min="2" max="2" width="30" customWidth="1"/>
    <col min="3" max="3" width="95" customWidth="1"/>
  </cols>
  <sheetData>
    <row r="1" spans="2:3" ht="19.5" x14ac:dyDescent="0.3">
      <c r="B1" s="1" t="s">
        <v>0</v>
      </c>
    </row>
    <row r="2" spans="2:3" x14ac:dyDescent="0.25">
      <c r="B2" s="2" t="s">
        <v>1</v>
      </c>
    </row>
    <row r="4" spans="2:3" ht="38.25" x14ac:dyDescent="0.25">
      <c r="B4" s="3" t="s">
        <v>2</v>
      </c>
      <c r="C4" s="4" t="s">
        <v>3</v>
      </c>
    </row>
    <row r="6" spans="2:3" ht="38.25" x14ac:dyDescent="0.25">
      <c r="B6" s="3" t="s">
        <v>4</v>
      </c>
      <c r="C6" s="4" t="s">
        <v>5</v>
      </c>
    </row>
    <row r="8" spans="2:3" x14ac:dyDescent="0.25">
      <c r="B8" s="3" t="s">
        <v>6</v>
      </c>
      <c r="C8" s="4" t="s">
        <v>7</v>
      </c>
    </row>
    <row r="9" spans="2:3" ht="25.5" x14ac:dyDescent="0.25">
      <c r="B9" s="3" t="s">
        <v>8</v>
      </c>
      <c r="C9" s="4" t="s">
        <v>9</v>
      </c>
    </row>
    <row r="10" spans="2:3" ht="25.5" x14ac:dyDescent="0.25">
      <c r="B10" s="3" t="s">
        <v>10</v>
      </c>
      <c r="C10" s="4" t="s">
        <v>11</v>
      </c>
    </row>
    <row r="11" spans="2:3" ht="25.5" x14ac:dyDescent="0.25">
      <c r="B11" s="3" t="s">
        <v>12</v>
      </c>
      <c r="C11" s="4" t="s">
        <v>13</v>
      </c>
    </row>
    <row r="13" spans="2:3" x14ac:dyDescent="0.25">
      <c r="B13" s="5" t="s">
        <v>14</v>
      </c>
      <c r="C13" s="6" t="s">
        <v>15</v>
      </c>
    </row>
    <row r="14" spans="2:3" ht="25.5" x14ac:dyDescent="0.25">
      <c r="B14" s="7" t="s">
        <v>16</v>
      </c>
      <c r="C14" s="4" t="s">
        <v>17</v>
      </c>
    </row>
    <row r="15" spans="2:3" x14ac:dyDescent="0.25">
      <c r="B15" s="7" t="s">
        <v>18</v>
      </c>
      <c r="C15" s="4" t="s">
        <v>19</v>
      </c>
    </row>
    <row r="16" spans="2:3" x14ac:dyDescent="0.25">
      <c r="B16" s="7" t="s">
        <v>20</v>
      </c>
      <c r="C16" s="4" t="s">
        <v>21</v>
      </c>
    </row>
    <row r="17" spans="2:3" x14ac:dyDescent="0.25">
      <c r="B17" s="7" t="s">
        <v>22</v>
      </c>
      <c r="C17" s="4" t="s">
        <v>23</v>
      </c>
    </row>
    <row r="18" spans="2:3" ht="25.5" x14ac:dyDescent="0.25">
      <c r="B18" s="7" t="s">
        <v>24</v>
      </c>
      <c r="C18" s="4" t="s">
        <v>25</v>
      </c>
    </row>
    <row r="19" spans="2:3" ht="25.5" x14ac:dyDescent="0.25">
      <c r="B19" s="7" t="s">
        <v>26</v>
      </c>
      <c r="C19" s="4" t="s">
        <v>27</v>
      </c>
    </row>
    <row r="20" spans="2:3" x14ac:dyDescent="0.25">
      <c r="B20" s="7" t="s">
        <v>28</v>
      </c>
      <c r="C20" s="4" t="s">
        <v>29</v>
      </c>
    </row>
    <row r="21" spans="2:3" ht="25.5" x14ac:dyDescent="0.25">
      <c r="B21" s="7" t="s">
        <v>30</v>
      </c>
      <c r="C21" s="4" t="s">
        <v>31</v>
      </c>
    </row>
    <row r="22" spans="2:3" x14ac:dyDescent="0.25">
      <c r="B22" s="7" t="s">
        <v>32</v>
      </c>
      <c r="C22" s="4" t="s">
        <v>33</v>
      </c>
    </row>
    <row r="24" spans="2:3" ht="25.5" x14ac:dyDescent="0.25">
      <c r="B24" s="3" t="s">
        <v>34</v>
      </c>
      <c r="C24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workbookViewId="0">
      <pane ySplit="2" topLeftCell="A3" activePane="bottomLeft" state="frozen"/>
      <selection pane="bottomLeft" activeCell="B11" sqref="B11"/>
    </sheetView>
  </sheetViews>
  <sheetFormatPr defaultRowHeight="15" x14ac:dyDescent="0.25"/>
  <cols>
    <col min="1" max="1" width="20" customWidth="1"/>
    <col min="2" max="2" width="34" customWidth="1"/>
    <col min="3" max="3" width="15" customWidth="1"/>
    <col min="4" max="4" width="10" customWidth="1"/>
    <col min="5" max="5" width="12" customWidth="1"/>
    <col min="6" max="6" width="13" customWidth="1"/>
    <col min="7" max="8" width="11" customWidth="1"/>
    <col min="9" max="9" width="14" customWidth="1"/>
    <col min="10" max="10" width="15" customWidth="1"/>
    <col min="11" max="11" width="20" customWidth="1"/>
    <col min="12" max="12" width="15" customWidth="1"/>
    <col min="13" max="13" width="14" customWidth="1"/>
    <col min="14" max="14" width="34" customWidth="1"/>
  </cols>
  <sheetData>
    <row r="1" spans="1:14" ht="27.95" customHeight="1" x14ac:dyDescent="0.25">
      <c r="A1" s="12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0" customHeight="1" x14ac:dyDescent="0.25">
      <c r="A2" s="8" t="s">
        <v>37</v>
      </c>
      <c r="B2" s="9" t="s">
        <v>38</v>
      </c>
      <c r="C2" s="8" t="s">
        <v>39</v>
      </c>
      <c r="D2" s="9" t="s">
        <v>40</v>
      </c>
      <c r="E2" s="9" t="s">
        <v>41</v>
      </c>
      <c r="F2" s="8" t="s">
        <v>42</v>
      </c>
      <c r="G2" s="9" t="s">
        <v>43</v>
      </c>
      <c r="H2" s="9" t="s">
        <v>44</v>
      </c>
      <c r="I2" s="9" t="s">
        <v>20</v>
      </c>
      <c r="J2" s="9" t="s">
        <v>22</v>
      </c>
      <c r="K2" s="9" t="s">
        <v>12</v>
      </c>
      <c r="L2" s="8" t="s">
        <v>45</v>
      </c>
      <c r="M2" s="8" t="s">
        <v>46</v>
      </c>
      <c r="N2" s="9" t="s">
        <v>47</v>
      </c>
    </row>
    <row r="3" spans="1:14" ht="38.25" x14ac:dyDescent="0.25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>
        <v>2.4</v>
      </c>
      <c r="H3" s="10" t="s">
        <v>54</v>
      </c>
      <c r="I3" s="10">
        <v>60</v>
      </c>
      <c r="J3" s="10"/>
      <c r="K3" s="10" t="s">
        <v>55</v>
      </c>
      <c r="L3" s="10" t="s">
        <v>56</v>
      </c>
      <c r="M3" s="10" t="s">
        <v>57</v>
      </c>
      <c r="N3" s="10" t="s">
        <v>83</v>
      </c>
    </row>
    <row r="4" spans="1:14" ht="25.5" x14ac:dyDescent="0.25">
      <c r="A4" s="14" t="s">
        <v>58</v>
      </c>
      <c r="B4" s="14" t="s">
        <v>59</v>
      </c>
      <c r="C4" s="14" t="s">
        <v>60</v>
      </c>
      <c r="D4" s="14" t="s">
        <v>51</v>
      </c>
      <c r="E4" s="14" t="s">
        <v>52</v>
      </c>
      <c r="F4" s="14" t="s">
        <v>53</v>
      </c>
      <c r="G4" s="14">
        <v>0.8</v>
      </c>
      <c r="H4" s="14" t="s">
        <v>54</v>
      </c>
      <c r="I4" s="14">
        <v>30</v>
      </c>
      <c r="J4" s="14">
        <v>15</v>
      </c>
      <c r="K4" s="14"/>
      <c r="L4" s="14" t="s">
        <v>61</v>
      </c>
      <c r="M4" s="14" t="s">
        <v>57</v>
      </c>
      <c r="N4" s="14" t="s">
        <v>84</v>
      </c>
    </row>
    <row r="5" spans="1:14" x14ac:dyDescent="0.25">
      <c r="A5" s="20" t="s">
        <v>78</v>
      </c>
      <c r="B5" s="20" t="s">
        <v>85</v>
      </c>
      <c r="C5" s="20" t="s">
        <v>60</v>
      </c>
      <c r="D5" s="20" t="s">
        <v>51</v>
      </c>
      <c r="E5" s="20" t="s">
        <v>52</v>
      </c>
      <c r="F5" s="20" t="s">
        <v>53</v>
      </c>
      <c r="G5" s="20">
        <v>0.02</v>
      </c>
      <c r="H5" s="20" t="s">
        <v>54</v>
      </c>
      <c r="I5" s="20">
        <v>500</v>
      </c>
      <c r="J5" s="20"/>
      <c r="K5" s="20"/>
      <c r="L5" s="20" t="s">
        <v>86</v>
      </c>
      <c r="M5" s="20" t="s">
        <v>57</v>
      </c>
      <c r="N5" s="20" t="s">
        <v>87</v>
      </c>
    </row>
    <row r="6" spans="1:14" x14ac:dyDescent="0.25">
      <c r="A6" s="20" t="s">
        <v>72</v>
      </c>
      <c r="B6" s="20" t="s">
        <v>88</v>
      </c>
      <c r="C6" s="20" t="s">
        <v>50</v>
      </c>
      <c r="D6" s="20" t="s">
        <v>89</v>
      </c>
      <c r="E6" s="20" t="s">
        <v>52</v>
      </c>
      <c r="F6" s="20" t="s">
        <v>53</v>
      </c>
      <c r="G6" s="20">
        <v>1.1000000000000001</v>
      </c>
      <c r="H6" s="20" t="s">
        <v>54</v>
      </c>
      <c r="I6" s="20">
        <v>24</v>
      </c>
      <c r="J6" s="20"/>
      <c r="K6" s="20" t="s">
        <v>90</v>
      </c>
      <c r="L6" s="20" t="s">
        <v>56</v>
      </c>
      <c r="M6" s="20" t="s">
        <v>57</v>
      </c>
      <c r="N6" s="20" t="s">
        <v>91</v>
      </c>
    </row>
    <row r="7" spans="1:14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</sheetData>
  <mergeCells count="1">
    <mergeCell ref="A1:N1"/>
  </mergeCells>
  <dataValidations count="5">
    <dataValidation type="list" allowBlank="1" sqref="C3:C45" xr:uid="{00000000-0002-0000-0100-000000000000}">
      <formula1>"RawMaterial,Component,SubAssembly,FinishedGood,PassThrough"</formula1>
    </dataValidation>
    <dataValidation type="list" allowBlank="1" sqref="F3:F45" xr:uid="{00000000-0002-0000-0100-000001000000}">
      <formula1>"EA,PCS,LB,KG,IN,MM"</formula1>
    </dataValidation>
    <dataValidation type="list" allowBlank="1" sqref="H3:H45" xr:uid="{00000000-0002-0000-0100-000002000000}">
      <formula1>"LB,KG"</formula1>
    </dataValidation>
    <dataValidation type="list" allowBlank="1" sqref="L3:L45" xr:uid="{00000000-0002-0000-0100-000003000000}">
      <formula1>"Legacy MES,3rd-Party App,Both"</formula1>
    </dataValidation>
    <dataValidation type="list" allowBlank="1" sqref="M3:M45" xr:uid="{00000000-0002-0000-0100-000004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showGridLines="0" workbookViewId="0">
      <pane ySplit="2" topLeftCell="A3" activePane="bottomLeft" state="frozen"/>
      <selection pane="bottomLeft" activeCell="F4" sqref="F4"/>
    </sheetView>
  </sheetViews>
  <sheetFormatPr defaultRowHeight="15" x14ac:dyDescent="0.25"/>
  <cols>
    <col min="1" max="1" width="20" customWidth="1"/>
    <col min="2" max="2" width="16" customWidth="1"/>
    <col min="3" max="3" width="14" customWidth="1"/>
    <col min="4" max="4" width="12" customWidth="1"/>
    <col min="5" max="5" width="14" customWidth="1"/>
    <col min="6" max="7" width="16" customWidth="1"/>
    <col min="8" max="8" width="14" customWidth="1"/>
    <col min="9" max="9" width="34" customWidth="1"/>
  </cols>
  <sheetData>
    <row r="1" spans="1:9" ht="27.95" customHeight="1" x14ac:dyDescent="0.25">
      <c r="A1" s="12" t="s">
        <v>62</v>
      </c>
      <c r="B1" s="13"/>
      <c r="C1" s="13"/>
      <c r="D1" s="13"/>
      <c r="E1" s="13"/>
      <c r="F1" s="13"/>
      <c r="G1" s="13"/>
      <c r="H1" s="13"/>
      <c r="I1" s="13"/>
    </row>
    <row r="2" spans="1:9" ht="30" customHeight="1" x14ac:dyDescent="0.25">
      <c r="A2" s="17" t="s">
        <v>37</v>
      </c>
      <c r="B2" s="17" t="s">
        <v>63</v>
      </c>
      <c r="C2" s="17" t="s">
        <v>64</v>
      </c>
      <c r="D2" s="18" t="s">
        <v>28</v>
      </c>
      <c r="E2" s="18" t="s">
        <v>26</v>
      </c>
      <c r="F2" s="18" t="s">
        <v>65</v>
      </c>
      <c r="G2" s="18" t="s">
        <v>66</v>
      </c>
      <c r="H2" s="18" t="s">
        <v>67</v>
      </c>
      <c r="I2" s="18" t="s">
        <v>47</v>
      </c>
    </row>
    <row r="3" spans="1:9" x14ac:dyDescent="0.25">
      <c r="A3" s="16" t="str" cm="1">
        <f t="array" ref="A3">IFERROR(INDEX(_xlfn._xlws.FILTER(Parts!$A$3:$A$1000,(Parts!$C$3:$C$1000="FinishedGood")*(Parts!$A$3:$A$1000&lt;&gt;"")),ROWS(A$3:A3)),"")</f>
        <v>1223A-59B -A0002</v>
      </c>
      <c r="B3" s="15">
        <v>22</v>
      </c>
      <c r="C3" s="15">
        <v>12</v>
      </c>
      <c r="D3" s="15" t="s">
        <v>68</v>
      </c>
      <c r="E3" s="15" t="s">
        <v>92</v>
      </c>
      <c r="F3" s="15"/>
      <c r="G3" s="15"/>
      <c r="H3" s="15"/>
      <c r="I3" s="15"/>
    </row>
    <row r="4" spans="1:9" x14ac:dyDescent="0.25">
      <c r="A4" s="16" t="str" cm="1">
        <f t="array" ref="A4">IFERROR(INDEX(_xlfn._xlws.FILTER(Parts!$A$3:$A$1000,(Parts!$C$3:$C$1000="FinishedGood")*(Parts!$A$3:$A$1000&lt;&gt;"")),ROWS(A$3:A4)),"")</f>
        <v>5G0-FG</v>
      </c>
      <c r="B4" s="15">
        <v>1</v>
      </c>
      <c r="C4" s="15">
        <v>6</v>
      </c>
      <c r="D4" s="15" t="s">
        <v>57</v>
      </c>
      <c r="E4" s="15" t="s">
        <v>92</v>
      </c>
      <c r="F4" s="15"/>
      <c r="G4" s="15"/>
      <c r="H4" s="15"/>
      <c r="I4" s="15"/>
    </row>
    <row r="5" spans="1:9" x14ac:dyDescent="0.25">
      <c r="A5" s="16" t="str" cm="1">
        <f t="array" ref="A5">IFERROR(INDEX(_xlfn._xlws.FILTER(Parts!$A$3:$A$1000,(Parts!$C$3:$C$1000="FinishedGood")*(Parts!$A$3:$A$1000&lt;&gt;"")),ROWS(A$3:A5)),"")</f>
        <v/>
      </c>
      <c r="B5" s="15"/>
      <c r="C5" s="15"/>
      <c r="D5" s="15"/>
      <c r="E5" s="15"/>
      <c r="F5" s="15"/>
      <c r="G5" s="15"/>
      <c r="H5" s="15"/>
      <c r="I5" s="15"/>
    </row>
    <row r="6" spans="1:9" x14ac:dyDescent="0.25">
      <c r="A6" s="16" t="str" cm="1">
        <f t="array" ref="A6">IFERROR(INDEX(_xlfn._xlws.FILTER(Parts!$A$3:$A$1000,(Parts!$C$3:$C$1000="FinishedGood")*(Parts!$A$3:$A$1000&lt;&gt;"")),ROWS(A$3:A6)),"")</f>
        <v/>
      </c>
      <c r="B6" s="15"/>
      <c r="C6" s="15"/>
      <c r="D6" s="15"/>
      <c r="E6" s="15"/>
      <c r="F6" s="15"/>
      <c r="G6" s="15"/>
      <c r="H6" s="15"/>
      <c r="I6" s="15"/>
    </row>
    <row r="7" spans="1:9" x14ac:dyDescent="0.25">
      <c r="A7" s="16" t="str" cm="1">
        <f t="array" ref="A7">IFERROR(INDEX(_xlfn._xlws.FILTER(Parts!$A$3:$A$1000,(Parts!$C$3:$C$1000="FinishedGood")*(Parts!$A$3:$A$1000&lt;&gt;"")),ROWS(A$3:A7)),"")</f>
        <v/>
      </c>
      <c r="B7" s="15"/>
      <c r="C7" s="15"/>
      <c r="D7" s="15"/>
      <c r="E7" s="15"/>
      <c r="F7" s="15"/>
      <c r="G7" s="15"/>
      <c r="H7" s="15"/>
      <c r="I7" s="15"/>
    </row>
    <row r="8" spans="1:9" x14ac:dyDescent="0.25">
      <c r="A8" s="16" t="str" cm="1">
        <f t="array" ref="A8">IFERROR(INDEX(_xlfn._xlws.FILTER(Parts!$A$3:$A$1000,(Parts!$C$3:$C$1000="FinishedGood")*(Parts!$A$3:$A$1000&lt;&gt;"")),ROWS(A$3:A8)),"")</f>
        <v/>
      </c>
      <c r="B8" s="15"/>
      <c r="C8" s="15"/>
      <c r="D8" s="15"/>
      <c r="E8" s="15"/>
      <c r="F8" s="15"/>
      <c r="G8" s="15"/>
      <c r="H8" s="15"/>
      <c r="I8" s="15"/>
    </row>
    <row r="9" spans="1:9" x14ac:dyDescent="0.25">
      <c r="A9" s="16" t="str" cm="1">
        <f t="array" ref="A9">IFERROR(INDEX(_xlfn._xlws.FILTER(Parts!$A$3:$A$1000,(Parts!$C$3:$C$1000="FinishedGood")*(Parts!$A$3:$A$1000&lt;&gt;"")),ROWS(A$3:A9)),"")</f>
        <v/>
      </c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16" t="str" cm="1">
        <f t="array" ref="A10">IFERROR(INDEX(_xlfn._xlws.FILTER(Parts!$A$3:$A$1000,(Parts!$C$3:$C$1000="FinishedGood")*(Parts!$A$3:$A$1000&lt;&gt;"")),ROWS(A$3:A10)),"")</f>
        <v/>
      </c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16" t="str" cm="1">
        <f t="array" ref="A11">IFERROR(INDEX(_xlfn._xlws.FILTER(Parts!$A$3:$A$1000,(Parts!$C$3:$C$1000="FinishedGood")*(Parts!$A$3:$A$1000&lt;&gt;"")),ROWS(A$3:A11)),"")</f>
        <v/>
      </c>
      <c r="B11" s="15"/>
      <c r="C11" s="15"/>
      <c r="D11" s="15"/>
      <c r="E11" s="15"/>
      <c r="F11" s="15"/>
      <c r="G11" s="15"/>
      <c r="H11" s="15"/>
      <c r="I11" s="15"/>
    </row>
    <row r="12" spans="1:9" x14ac:dyDescent="0.25">
      <c r="A12" s="16" t="str" cm="1">
        <f t="array" ref="A12">IFERROR(INDEX(_xlfn._xlws.FILTER(Parts!$A$3:$A$1000,(Parts!$C$3:$C$1000="FinishedGood")*(Parts!$A$3:$A$1000&lt;&gt;"")),ROWS(A$3:A12)),"")</f>
        <v/>
      </c>
      <c r="B12" s="15"/>
      <c r="C12" s="15"/>
      <c r="D12" s="15"/>
      <c r="E12" s="15"/>
      <c r="F12" s="15"/>
      <c r="G12" s="15"/>
      <c r="H12" s="15"/>
      <c r="I12" s="15"/>
    </row>
    <row r="13" spans="1:9" x14ac:dyDescent="0.25">
      <c r="A13" s="16" t="str" cm="1">
        <f t="array" ref="A13">IFERROR(INDEX(_xlfn._xlws.FILTER(Parts!$A$3:$A$1000,(Parts!$C$3:$C$1000="FinishedGood")*(Parts!$A$3:$A$1000&lt;&gt;"")),ROWS(A$3:A13)),"")</f>
        <v/>
      </c>
      <c r="B13" s="15"/>
      <c r="C13" s="15"/>
      <c r="D13" s="15"/>
      <c r="E13" s="15"/>
      <c r="F13" s="15"/>
      <c r="G13" s="15"/>
      <c r="H13" s="15"/>
      <c r="I13" s="15"/>
    </row>
    <row r="14" spans="1:9" x14ac:dyDescent="0.25">
      <c r="A14" s="16" t="str" cm="1">
        <f t="array" ref="A14">IFERROR(INDEX(_xlfn._xlws.FILTER(Parts!$A$3:$A$1000,(Parts!$C$3:$C$1000="FinishedGood")*(Parts!$A$3:$A$1000&lt;&gt;"")),ROWS(A$3:A14)),"")</f>
        <v/>
      </c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16" t="str" cm="1">
        <f t="array" ref="A15">IFERROR(INDEX(_xlfn._xlws.FILTER(Parts!$A$3:$A$1000,(Parts!$C$3:$C$1000="FinishedGood")*(Parts!$A$3:$A$1000&lt;&gt;"")),ROWS(A$3:A15)),"")</f>
        <v/>
      </c>
      <c r="B15" s="15"/>
      <c r="C15" s="15"/>
      <c r="D15" s="15"/>
      <c r="E15" s="15"/>
      <c r="F15" s="15"/>
      <c r="G15" s="15"/>
      <c r="H15" s="15"/>
      <c r="I15" s="15"/>
    </row>
    <row r="16" spans="1:9" x14ac:dyDescent="0.25">
      <c r="A16" s="16" t="str" cm="1">
        <f t="array" ref="A16">IFERROR(INDEX(_xlfn._xlws.FILTER(Parts!$A$3:$A$1000,(Parts!$C$3:$C$1000="FinishedGood")*(Parts!$A$3:$A$1000&lt;&gt;"")),ROWS(A$3:A16)),"")</f>
        <v/>
      </c>
      <c r="B16" s="15"/>
      <c r="C16" s="15"/>
      <c r="D16" s="15"/>
      <c r="E16" s="15"/>
      <c r="F16" s="15"/>
      <c r="G16" s="15"/>
      <c r="H16" s="15"/>
      <c r="I16" s="15"/>
    </row>
    <row r="17" spans="1:9" x14ac:dyDescent="0.25">
      <c r="A17" s="16" t="str" cm="1">
        <f t="array" ref="A17">IFERROR(INDEX(_xlfn._xlws.FILTER(Parts!$A$3:$A$1000,(Parts!$C$3:$C$1000="FinishedGood")*(Parts!$A$3:$A$1000&lt;&gt;"")),ROWS(A$3:A17)),"")</f>
        <v/>
      </c>
      <c r="B17" s="15"/>
      <c r="C17" s="15"/>
      <c r="D17" s="15"/>
      <c r="E17" s="15"/>
      <c r="F17" s="15"/>
      <c r="G17" s="15"/>
      <c r="H17" s="15"/>
      <c r="I17" s="15"/>
    </row>
    <row r="18" spans="1:9" x14ac:dyDescent="0.25">
      <c r="A18" s="16" t="str" cm="1">
        <f t="array" ref="A18">IFERROR(INDEX(_xlfn._xlws.FILTER(Parts!$A$3:$A$1000,(Parts!$C$3:$C$1000="FinishedGood")*(Parts!$A$3:$A$1000&lt;&gt;"")),ROWS(A$3:A18)),"")</f>
        <v/>
      </c>
      <c r="B18" s="15"/>
      <c r="C18" s="15"/>
      <c r="D18" s="15"/>
      <c r="E18" s="15"/>
      <c r="F18" s="15"/>
      <c r="G18" s="15"/>
      <c r="H18" s="15"/>
      <c r="I18" s="15"/>
    </row>
    <row r="19" spans="1:9" x14ac:dyDescent="0.25">
      <c r="A19" s="16" t="str" cm="1">
        <f t="array" ref="A19">IFERROR(INDEX(_xlfn._xlws.FILTER(Parts!$A$3:$A$1000,(Parts!$C$3:$C$1000="FinishedGood")*(Parts!$A$3:$A$1000&lt;&gt;"")),ROWS(A$3:A19)),"")</f>
        <v/>
      </c>
      <c r="B19" s="15"/>
      <c r="C19" s="15"/>
      <c r="D19" s="15"/>
      <c r="E19" s="15"/>
      <c r="F19" s="15"/>
      <c r="G19" s="15"/>
      <c r="H19" s="15"/>
      <c r="I19" s="15"/>
    </row>
    <row r="20" spans="1:9" x14ac:dyDescent="0.25">
      <c r="A20" s="16" t="str" cm="1">
        <f t="array" ref="A20">IFERROR(INDEX(_xlfn._xlws.FILTER(Parts!$A$3:$A$1000,(Parts!$C$3:$C$1000="FinishedGood")*(Parts!$A$3:$A$1000&lt;&gt;"")),ROWS(A$3:A20)),"")</f>
        <v/>
      </c>
      <c r="B20" s="15"/>
      <c r="C20" s="15"/>
      <c r="D20" s="15"/>
      <c r="E20" s="15"/>
      <c r="F20" s="15"/>
      <c r="G20" s="15"/>
      <c r="H20" s="15"/>
      <c r="I20" s="15"/>
    </row>
    <row r="21" spans="1:9" x14ac:dyDescent="0.25">
      <c r="A21" s="16" t="str" cm="1">
        <f t="array" ref="A21">IFERROR(INDEX(_xlfn._xlws.FILTER(Parts!$A$3:$A$1000,(Parts!$C$3:$C$1000="FinishedGood")*(Parts!$A$3:$A$1000&lt;&gt;"")),ROWS(A$3:A21)),"")</f>
        <v/>
      </c>
      <c r="B21" s="15"/>
      <c r="C21" s="15"/>
      <c r="D21" s="15"/>
      <c r="E21" s="15"/>
      <c r="F21" s="15"/>
      <c r="G21" s="15"/>
      <c r="H21" s="15"/>
      <c r="I21" s="15"/>
    </row>
    <row r="22" spans="1:9" x14ac:dyDescent="0.25">
      <c r="A22" s="16" t="str" cm="1">
        <f t="array" ref="A22">IFERROR(INDEX(_xlfn._xlws.FILTER(Parts!$A$3:$A$1000,(Parts!$C$3:$C$1000="FinishedGood")*(Parts!$A$3:$A$1000&lt;&gt;"")),ROWS(A$3:A22)),"")</f>
        <v/>
      </c>
      <c r="B22" s="15"/>
      <c r="C22" s="15"/>
      <c r="D22" s="15"/>
      <c r="E22" s="15"/>
      <c r="F22" s="15"/>
      <c r="G22" s="15"/>
      <c r="H22" s="15"/>
      <c r="I22" s="15"/>
    </row>
    <row r="23" spans="1:9" x14ac:dyDescent="0.25">
      <c r="A23" s="16" t="str" cm="1">
        <f t="array" ref="A23">IFERROR(INDEX(_xlfn._xlws.FILTER(Parts!$A$3:$A$1000,(Parts!$C$3:$C$1000="FinishedGood")*(Parts!$A$3:$A$1000&lt;&gt;"")),ROWS(A$3:A23)),"")</f>
        <v/>
      </c>
      <c r="B23" s="15"/>
      <c r="C23" s="15"/>
      <c r="D23" s="15"/>
      <c r="E23" s="15"/>
      <c r="F23" s="15"/>
      <c r="G23" s="15"/>
      <c r="H23" s="15"/>
      <c r="I23" s="15"/>
    </row>
    <row r="24" spans="1:9" x14ac:dyDescent="0.25">
      <c r="A24" s="16" t="str" cm="1">
        <f t="array" ref="A24">IFERROR(INDEX(_xlfn._xlws.FILTER(Parts!$A$3:$A$1000,(Parts!$C$3:$C$1000="FinishedGood")*(Parts!$A$3:$A$1000&lt;&gt;"")),ROWS(A$3:A24)),"")</f>
        <v/>
      </c>
      <c r="B24" s="15"/>
      <c r="C24" s="15"/>
      <c r="D24" s="15"/>
      <c r="E24" s="15"/>
      <c r="F24" s="15"/>
      <c r="G24" s="15"/>
      <c r="H24" s="15"/>
      <c r="I24" s="15"/>
    </row>
    <row r="25" spans="1:9" x14ac:dyDescent="0.25">
      <c r="A25" s="16" t="str" cm="1">
        <f t="array" ref="A25">IFERROR(INDEX(_xlfn._xlws.FILTER(Parts!$A$3:$A$1000,(Parts!$C$3:$C$1000="FinishedGood")*(Parts!$A$3:$A$1000&lt;&gt;"")),ROWS(A$3:A25)),"")</f>
        <v/>
      </c>
      <c r="B25" s="15"/>
      <c r="C25" s="15"/>
      <c r="D25" s="15"/>
      <c r="E25" s="15"/>
      <c r="F25" s="15"/>
      <c r="G25" s="15"/>
      <c r="H25" s="15"/>
      <c r="I25" s="15"/>
    </row>
    <row r="26" spans="1:9" x14ac:dyDescent="0.25">
      <c r="A26" s="16" t="str" cm="1">
        <f t="array" ref="A26">IFERROR(INDEX(_xlfn._xlws.FILTER(Parts!$A$3:$A$1000,(Parts!$C$3:$C$1000="FinishedGood")*(Parts!$A$3:$A$1000&lt;&gt;"")),ROWS(A$3:A26)),"")</f>
        <v/>
      </c>
      <c r="B26" s="15"/>
      <c r="C26" s="15"/>
      <c r="D26" s="15"/>
      <c r="E26" s="15"/>
      <c r="F26" s="15"/>
      <c r="G26" s="15"/>
      <c r="H26" s="15"/>
      <c r="I26" s="15"/>
    </row>
    <row r="27" spans="1:9" x14ac:dyDescent="0.25">
      <c r="A27" s="16" t="str" cm="1">
        <f t="array" ref="A27">IFERROR(INDEX(_xlfn._xlws.FILTER(Parts!$A$3:$A$1000,(Parts!$C$3:$C$1000="FinishedGood")*(Parts!$A$3:$A$1000&lt;&gt;"")),ROWS(A$3:A27)),"")</f>
        <v/>
      </c>
      <c r="B27" s="15"/>
      <c r="C27" s="15"/>
      <c r="D27" s="15"/>
      <c r="E27" s="15"/>
      <c r="F27" s="15"/>
      <c r="G27" s="15"/>
      <c r="H27" s="15"/>
      <c r="I27" s="15"/>
    </row>
    <row r="28" spans="1:9" x14ac:dyDescent="0.25">
      <c r="A28" s="16" t="str" cm="1">
        <f t="array" ref="A28">IFERROR(INDEX(_xlfn._xlws.FILTER(Parts!$A$3:$A$1000,(Parts!$C$3:$C$1000="FinishedGood")*(Parts!$A$3:$A$1000&lt;&gt;"")),ROWS(A$3:A28)),"")</f>
        <v/>
      </c>
      <c r="B28" s="15"/>
      <c r="C28" s="15"/>
      <c r="D28" s="15"/>
      <c r="E28" s="15"/>
      <c r="F28" s="15"/>
      <c r="G28" s="15"/>
      <c r="H28" s="15"/>
      <c r="I28" s="15"/>
    </row>
    <row r="29" spans="1:9" x14ac:dyDescent="0.25">
      <c r="A29" s="16" t="str" cm="1">
        <f t="array" ref="A29">IFERROR(INDEX(_xlfn._xlws.FILTER(Parts!$A$3:$A$1000,(Parts!$C$3:$C$1000="FinishedGood")*(Parts!$A$3:$A$1000&lt;&gt;"")),ROWS(A$3:A29)),"")</f>
        <v/>
      </c>
      <c r="B29" s="15"/>
      <c r="C29" s="15"/>
      <c r="D29" s="15"/>
      <c r="E29" s="15"/>
      <c r="F29" s="15"/>
      <c r="G29" s="15"/>
      <c r="H29" s="15"/>
      <c r="I29" s="15"/>
    </row>
    <row r="30" spans="1:9" x14ac:dyDescent="0.25">
      <c r="A30" s="16" t="str" cm="1">
        <f t="array" ref="A30">IFERROR(INDEX(_xlfn._xlws.FILTER(Parts!$A$3:$A$1000,(Parts!$C$3:$C$1000="FinishedGood")*(Parts!$A$3:$A$1000&lt;&gt;"")),ROWS(A$3:A30)),"")</f>
        <v/>
      </c>
      <c r="B30" s="15"/>
      <c r="C30" s="15"/>
      <c r="D30" s="15"/>
      <c r="E30" s="15"/>
      <c r="F30" s="15"/>
      <c r="G30" s="15"/>
      <c r="H30" s="15"/>
      <c r="I30" s="15"/>
    </row>
    <row r="31" spans="1:9" x14ac:dyDescent="0.25">
      <c r="A31" s="16" t="str" cm="1">
        <f t="array" ref="A31">IFERROR(INDEX(_xlfn._xlws.FILTER(Parts!$A$3:$A$1000,(Parts!$C$3:$C$1000="FinishedGood")*(Parts!$A$3:$A$1000&lt;&gt;"")),ROWS(A$3:A31)),"")</f>
        <v/>
      </c>
      <c r="B31" s="15"/>
      <c r="C31" s="15"/>
      <c r="D31" s="15"/>
      <c r="E31" s="15"/>
      <c r="F31" s="15"/>
      <c r="G31" s="15"/>
      <c r="H31" s="15"/>
      <c r="I31" s="15"/>
    </row>
    <row r="32" spans="1:9" x14ac:dyDescent="0.25">
      <c r="A32" s="16" t="str" cm="1">
        <f t="array" ref="A32">IFERROR(INDEX(_xlfn._xlws.FILTER(Parts!$A$3:$A$1000,(Parts!$C$3:$C$1000="FinishedGood")*(Parts!$A$3:$A$1000&lt;&gt;"")),ROWS(A$3:A32)),"")</f>
        <v/>
      </c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6" t="str" cm="1">
        <f t="array" ref="A33">IFERROR(INDEX(_xlfn._xlws.FILTER(Parts!$A$3:$A$1000,(Parts!$C$3:$C$1000="FinishedGood")*(Parts!$A$3:$A$1000&lt;&gt;"")),ROWS(A$3:A33)),"")</f>
        <v/>
      </c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6" t="str" cm="1">
        <f t="array" ref="A34">IFERROR(INDEX(_xlfn._xlws.FILTER(Parts!$A$3:$A$1000,(Parts!$C$3:$C$1000="FinishedGood")*(Parts!$A$3:$A$1000&lt;&gt;"")),ROWS(A$3:A34)),"")</f>
        <v/>
      </c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6" t="str" cm="1">
        <f t="array" ref="A35">IFERROR(INDEX(_xlfn._xlws.FILTER(Parts!$A$3:$A$1000,(Parts!$C$3:$C$1000="FinishedGood")*(Parts!$A$3:$A$1000&lt;&gt;"")),ROWS(A$3:A35)),"")</f>
        <v/>
      </c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6" t="str" cm="1">
        <f t="array" ref="A36">IFERROR(INDEX(_xlfn._xlws.FILTER(Parts!$A$3:$A$1000,(Parts!$C$3:$C$1000="FinishedGood")*(Parts!$A$3:$A$1000&lt;&gt;"")),ROWS(A$3:A36)),"")</f>
        <v/>
      </c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6" t="str" cm="1">
        <f t="array" ref="A37">IFERROR(INDEX(_xlfn._xlws.FILTER(Parts!$A$3:$A$1000,(Parts!$C$3:$C$1000="FinishedGood")*(Parts!$A$3:$A$1000&lt;&gt;"")),ROWS(A$3:A37)),"")</f>
        <v/>
      </c>
      <c r="B37" s="15"/>
      <c r="C37" s="15"/>
      <c r="D37" s="15"/>
      <c r="E37" s="15"/>
      <c r="F37" s="15"/>
      <c r="G37" s="15"/>
      <c r="H37" s="15"/>
      <c r="I37" s="15"/>
    </row>
    <row r="38" spans="1:9" x14ac:dyDescent="0.25">
      <c r="A38" s="16" t="str" cm="1">
        <f t="array" ref="A38">IFERROR(INDEX(_xlfn._xlws.FILTER(Parts!$A$3:$A$1000,(Parts!$C$3:$C$1000="FinishedGood")*(Parts!$A$3:$A$1000&lt;&gt;"")),ROWS(A$3:A38)),"")</f>
        <v/>
      </c>
      <c r="B38" s="15"/>
      <c r="C38" s="15"/>
      <c r="D38" s="15"/>
      <c r="E38" s="15"/>
      <c r="F38" s="15"/>
      <c r="G38" s="15"/>
      <c r="H38" s="15"/>
      <c r="I38" s="15"/>
    </row>
    <row r="39" spans="1:9" x14ac:dyDescent="0.25">
      <c r="A39" s="16" t="str" cm="1">
        <f t="array" ref="A39">IFERROR(INDEX(_xlfn._xlws.FILTER(Parts!$A$3:$A$1000,(Parts!$C$3:$C$1000="FinishedGood")*(Parts!$A$3:$A$1000&lt;&gt;"")),ROWS(A$3:A39)),"")</f>
        <v/>
      </c>
      <c r="B39" s="15"/>
      <c r="C39" s="15"/>
      <c r="D39" s="15"/>
      <c r="E39" s="15"/>
      <c r="F39" s="15"/>
      <c r="G39" s="15"/>
      <c r="H39" s="15"/>
      <c r="I39" s="15"/>
    </row>
    <row r="40" spans="1:9" x14ac:dyDescent="0.25">
      <c r="A40" s="16" t="str" cm="1">
        <f t="array" ref="A40">IFERROR(INDEX(_xlfn._xlws.FILTER(Parts!$A$3:$A$1000,(Parts!$C$3:$C$1000="FinishedGood")*(Parts!$A$3:$A$1000&lt;&gt;"")),ROWS(A$3:A40)),"")</f>
        <v/>
      </c>
      <c r="B40" s="15"/>
      <c r="C40" s="15"/>
      <c r="D40" s="15"/>
      <c r="E40" s="15"/>
      <c r="F40" s="15"/>
      <c r="G40" s="15"/>
      <c r="H40" s="15"/>
      <c r="I40" s="15"/>
    </row>
    <row r="41" spans="1:9" x14ac:dyDescent="0.25">
      <c r="A41" s="16" t="str" cm="1">
        <f t="array" ref="A41">IFERROR(INDEX(_xlfn._xlws.FILTER(Parts!$A$3:$A$1000,(Parts!$C$3:$C$1000="FinishedGood")*(Parts!$A$3:$A$1000&lt;&gt;"")),ROWS(A$3:A41)),"")</f>
        <v/>
      </c>
      <c r="B41" s="15"/>
      <c r="C41" s="15"/>
      <c r="D41" s="15"/>
      <c r="E41" s="15"/>
      <c r="F41" s="15"/>
      <c r="G41" s="15"/>
      <c r="H41" s="15"/>
      <c r="I41" s="15"/>
    </row>
    <row r="42" spans="1:9" x14ac:dyDescent="0.25">
      <c r="A42" s="16" t="str" cm="1">
        <f t="array" ref="A42">IFERROR(INDEX(_xlfn._xlws.FILTER(Parts!$A$3:$A$1000,(Parts!$C$3:$C$1000="FinishedGood")*(Parts!$A$3:$A$1000&lt;&gt;"")),ROWS(A$3:A42)),"")</f>
        <v/>
      </c>
      <c r="B42" s="15"/>
      <c r="C42" s="15"/>
      <c r="D42" s="15"/>
      <c r="E42" s="15"/>
      <c r="F42" s="15"/>
      <c r="G42" s="15"/>
      <c r="H42" s="15"/>
      <c r="I42" s="15"/>
    </row>
    <row r="43" spans="1:9" x14ac:dyDescent="0.25">
      <c r="A43" s="16" t="str" cm="1">
        <f t="array" ref="A43">IFERROR(INDEX(_xlfn._xlws.FILTER(Parts!$A$3:$A$1000,(Parts!$C$3:$C$1000="FinishedGood")*(Parts!$A$3:$A$1000&lt;&gt;"")),ROWS(A$3:A43)),"")</f>
        <v/>
      </c>
      <c r="B43" s="15"/>
      <c r="C43" s="15"/>
      <c r="D43" s="15"/>
      <c r="E43" s="15"/>
      <c r="F43" s="15"/>
      <c r="G43" s="15"/>
      <c r="H43" s="15"/>
      <c r="I43" s="15"/>
    </row>
    <row r="44" spans="1:9" x14ac:dyDescent="0.25">
      <c r="A44" s="16" t="str" cm="1">
        <f t="array" ref="A44">IFERROR(INDEX(_xlfn._xlws.FILTER(Parts!$A$3:$A$1000,(Parts!$C$3:$C$1000="FinishedGood")*(Parts!$A$3:$A$1000&lt;&gt;"")),ROWS(A$3:A44)),"")</f>
        <v/>
      </c>
      <c r="B44" s="15"/>
      <c r="C44" s="15"/>
      <c r="D44" s="15"/>
      <c r="E44" s="15"/>
      <c r="F44" s="15"/>
      <c r="G44" s="15"/>
      <c r="H44" s="15"/>
      <c r="I44" s="15"/>
    </row>
    <row r="45" spans="1:9" x14ac:dyDescent="0.25">
      <c r="A45" s="16" t="str" cm="1">
        <f t="array" ref="A45">IFERROR(INDEX(_xlfn._xlws.FILTER(Parts!$A$3:$A$1000,(Parts!$C$3:$C$1000="FinishedGood")*(Parts!$A$3:$A$1000&lt;&gt;"")),ROWS(A$3:A45)),"")</f>
        <v/>
      </c>
      <c r="B45" s="15"/>
      <c r="C45" s="15"/>
      <c r="D45" s="15"/>
      <c r="E45" s="15"/>
      <c r="F45" s="15"/>
      <c r="G45" s="15"/>
      <c r="H45" s="15"/>
      <c r="I45" s="15"/>
    </row>
    <row r="46" spans="1:9" x14ac:dyDescent="0.25">
      <c r="A46" s="16" t="str" cm="1">
        <f t="array" ref="A46">IFERROR(INDEX(_xlfn._xlws.FILTER(Parts!$A$3:$A$1000,(Parts!$C$3:$C$1000="FinishedGood")*(Parts!$A$3:$A$1000&lt;&gt;"")),ROWS(A$3:A46)),"")</f>
        <v/>
      </c>
      <c r="B46" s="15"/>
      <c r="C46" s="15"/>
      <c r="D46" s="15"/>
      <c r="E46" s="15"/>
      <c r="F46" s="15"/>
      <c r="G46" s="15"/>
      <c r="H46" s="15"/>
      <c r="I46" s="15"/>
    </row>
    <row r="47" spans="1:9" x14ac:dyDescent="0.25">
      <c r="A47" s="16" t="str" cm="1">
        <f t="array" ref="A47">IFERROR(INDEX(_xlfn._xlws.FILTER(Parts!$A$3:$A$1000,(Parts!$C$3:$C$1000="FinishedGood")*(Parts!$A$3:$A$1000&lt;&gt;"")),ROWS(A$3:A47)),"")</f>
        <v/>
      </c>
      <c r="B47" s="15"/>
      <c r="C47" s="15"/>
      <c r="D47" s="15"/>
      <c r="E47" s="15"/>
      <c r="F47" s="15"/>
      <c r="G47" s="15"/>
      <c r="H47" s="15"/>
      <c r="I47" s="15"/>
    </row>
    <row r="48" spans="1:9" x14ac:dyDescent="0.25">
      <c r="A48" s="16" t="str" cm="1">
        <f t="array" ref="A48">IFERROR(INDEX(_xlfn._xlws.FILTER(Parts!$A$3:$A$1000,(Parts!$C$3:$C$1000="FinishedGood")*(Parts!$A$3:$A$1000&lt;&gt;"")),ROWS(A$3:A48)),"")</f>
        <v/>
      </c>
      <c r="B48" s="15"/>
      <c r="C48" s="15"/>
      <c r="D48" s="15"/>
      <c r="E48" s="15"/>
      <c r="F48" s="15"/>
      <c r="G48" s="15"/>
      <c r="H48" s="15"/>
      <c r="I48" s="15"/>
    </row>
    <row r="49" spans="1:9" x14ac:dyDescent="0.25">
      <c r="A49" s="16" t="str" cm="1">
        <f t="array" ref="A49">IFERROR(INDEX(_xlfn._xlws.FILTER(Parts!$A$3:$A$1000,(Parts!$C$3:$C$1000="FinishedGood")*(Parts!$A$3:$A$1000&lt;&gt;"")),ROWS(A$3:A49)),"")</f>
        <v/>
      </c>
      <c r="B49" s="15"/>
      <c r="C49" s="15"/>
      <c r="D49" s="15"/>
      <c r="E49" s="15"/>
      <c r="F49" s="15"/>
      <c r="G49" s="15"/>
      <c r="H49" s="15"/>
      <c r="I49" s="15"/>
    </row>
    <row r="50" spans="1:9" x14ac:dyDescent="0.25">
      <c r="A50" s="16" t="str" cm="1">
        <f t="array" ref="A50">IFERROR(INDEX(_xlfn._xlws.FILTER(Parts!$A$3:$A$1000,(Parts!$C$3:$C$1000="FinishedGood")*(Parts!$A$3:$A$1000&lt;&gt;"")),ROWS(A$3:A50)),"")</f>
        <v/>
      </c>
      <c r="B50" s="15"/>
      <c r="C50" s="15"/>
      <c r="D50" s="15"/>
      <c r="E50" s="15"/>
      <c r="F50" s="15"/>
      <c r="G50" s="15"/>
      <c r="H50" s="15"/>
      <c r="I50" s="15"/>
    </row>
    <row r="51" spans="1:9" x14ac:dyDescent="0.25">
      <c r="A51" s="16" t="str" cm="1">
        <f t="array" ref="A51">IFERROR(INDEX(_xlfn._xlws.FILTER(Parts!$A$3:$A$1000,(Parts!$C$3:$C$1000="FinishedGood")*(Parts!$A$3:$A$1000&lt;&gt;"")),ROWS(A$3:A51)),"")</f>
        <v/>
      </c>
      <c r="B51" s="15"/>
      <c r="C51" s="15"/>
      <c r="D51" s="15"/>
      <c r="E51" s="15"/>
      <c r="F51" s="15"/>
      <c r="G51" s="15"/>
      <c r="H51" s="15"/>
      <c r="I51" s="15"/>
    </row>
    <row r="52" spans="1:9" x14ac:dyDescent="0.25">
      <c r="A52" s="16" t="str" cm="1">
        <f t="array" ref="A52">IFERROR(INDEX(_xlfn._xlws.FILTER(Parts!$A$3:$A$1000,(Parts!$C$3:$C$1000="FinishedGood")*(Parts!$A$3:$A$1000&lt;&gt;"")),ROWS(A$3:A52)),"")</f>
        <v/>
      </c>
      <c r="B52" s="15"/>
      <c r="C52" s="15"/>
      <c r="D52" s="15"/>
      <c r="E52" s="15"/>
      <c r="F52" s="15"/>
      <c r="G52" s="15"/>
      <c r="H52" s="15"/>
      <c r="I52" s="15"/>
    </row>
    <row r="53" spans="1:9" x14ac:dyDescent="0.25">
      <c r="A53" s="19" t="s">
        <v>48</v>
      </c>
      <c r="B53" s="19">
        <v>4</v>
      </c>
      <c r="C53" s="19">
        <v>15</v>
      </c>
      <c r="D53" s="19" t="s">
        <v>68</v>
      </c>
      <c r="E53" s="19" t="s">
        <v>69</v>
      </c>
      <c r="F53" s="19">
        <v>75</v>
      </c>
      <c r="G53" s="19" t="s">
        <v>70</v>
      </c>
      <c r="H53" s="19" t="s">
        <v>71</v>
      </c>
      <c r="I53" s="19" t="s">
        <v>79</v>
      </c>
    </row>
    <row r="54" spans="1:9" x14ac:dyDescent="0.25">
      <c r="A54" s="19" t="s">
        <v>72</v>
      </c>
      <c r="B54" s="19">
        <v>4</v>
      </c>
      <c r="C54" s="19">
        <v>12</v>
      </c>
      <c r="D54" s="19" t="s">
        <v>57</v>
      </c>
      <c r="E54" s="19" t="s">
        <v>73</v>
      </c>
      <c r="I54" s="19" t="s">
        <v>80</v>
      </c>
    </row>
  </sheetData>
  <mergeCells count="1">
    <mergeCell ref="A1:I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C96E87-2DC7-466D-A87F-B31D83DB3570}">
          <x14:formula1>
            <xm:f>Parts!$A$3:$A$1000</xm:f>
          </x14:formula1>
          <xm:sqref>A3:A52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showGridLines="0" tabSelected="1" workbookViewId="0">
      <pane ySplit="2" topLeftCell="A3" activePane="bottomLeft" state="frozen"/>
      <selection pane="bottomLeft" activeCell="D7" sqref="D7"/>
    </sheetView>
  </sheetViews>
  <sheetFormatPr defaultRowHeight="15" x14ac:dyDescent="0.25"/>
  <cols>
    <col min="1" max="2" width="22" customWidth="1"/>
    <col min="3" max="3" width="10" customWidth="1"/>
    <col min="4" max="4" width="40" customWidth="1"/>
  </cols>
  <sheetData>
    <row r="1" spans="1:4" ht="27.95" customHeight="1" x14ac:dyDescent="0.25">
      <c r="A1" s="12" t="s">
        <v>74</v>
      </c>
      <c r="B1" s="13"/>
      <c r="C1" s="13"/>
      <c r="D1" s="13"/>
    </row>
    <row r="2" spans="1:4" ht="30" customHeight="1" x14ac:dyDescent="0.25">
      <c r="A2" s="17" t="s">
        <v>75</v>
      </c>
      <c r="B2" s="17" t="s">
        <v>76</v>
      </c>
      <c r="C2" s="17" t="s">
        <v>77</v>
      </c>
      <c r="D2" s="18" t="s">
        <v>47</v>
      </c>
    </row>
    <row r="3" spans="1:4" x14ac:dyDescent="0.25">
      <c r="A3" s="16" t="str" cm="1">
        <f t="array" ref="A3">IFERROR(INDEX(_xlfn._xlws.FILTER(Parts!$A$3:$A$1000,((Parts!$C$3:$C$1000="FinishedGood")+(Parts!$C$3:$C$1000="SubAssembly"))*(Parts!$A$3:$A$1000&lt;&gt;"")),ROWS(A$3:A3)),"")</f>
        <v>1223A-59B -A0002</v>
      </c>
      <c r="B3" s="15"/>
      <c r="C3" s="15"/>
      <c r="D3" s="15" t="s">
        <v>95</v>
      </c>
    </row>
    <row r="4" spans="1:4" x14ac:dyDescent="0.25">
      <c r="A4" s="16" t="s">
        <v>48</v>
      </c>
      <c r="B4" s="15" t="s">
        <v>78</v>
      </c>
      <c r="C4" s="15">
        <v>20</v>
      </c>
      <c r="D4" s="15" t="s">
        <v>93</v>
      </c>
    </row>
    <row r="5" spans="1:4" x14ac:dyDescent="0.25">
      <c r="A5" s="16" t="s">
        <v>72</v>
      </c>
      <c r="B5" s="15" t="s">
        <v>58</v>
      </c>
      <c r="C5" s="15">
        <v>1</v>
      </c>
      <c r="D5" s="15" t="s">
        <v>94</v>
      </c>
    </row>
    <row r="6" spans="1:4" x14ac:dyDescent="0.25">
      <c r="A6" s="16"/>
      <c r="B6" s="15"/>
      <c r="C6" s="15"/>
      <c r="D6" s="15"/>
    </row>
    <row r="7" spans="1:4" x14ac:dyDescent="0.25">
      <c r="A7" s="16" t="str" cm="1">
        <f t="array" ref="A7">IFERROR(INDEX(_xlfn._xlws.FILTER(Parts!$A$3:$A$1000,((Parts!$C$3:$C$1000="FinishedGood")+(Parts!$C$3:$C$1000="SubAssembly"))*(Parts!$A$3:$A$1000&lt;&gt;"")),ROWS(A$3:A7)),"")</f>
        <v/>
      </c>
      <c r="B7" s="15"/>
      <c r="C7" s="15"/>
      <c r="D7" s="15"/>
    </row>
    <row r="8" spans="1:4" x14ac:dyDescent="0.25">
      <c r="A8" s="16" t="str" cm="1">
        <f t="array" ref="A8">IFERROR(INDEX(_xlfn._xlws.FILTER(Parts!$A$3:$A$1000,((Parts!$C$3:$C$1000="FinishedGood")+(Parts!$C$3:$C$1000="SubAssembly"))*(Parts!$A$3:$A$1000&lt;&gt;"")),ROWS(A$3:A8)),"")</f>
        <v/>
      </c>
      <c r="B8" s="15"/>
      <c r="C8" s="15"/>
      <c r="D8" s="15"/>
    </row>
    <row r="9" spans="1:4" x14ac:dyDescent="0.25">
      <c r="A9" s="16" t="str" cm="1">
        <f t="array" ref="A9">IFERROR(INDEX(_xlfn._xlws.FILTER(Parts!$A$3:$A$1000,((Parts!$C$3:$C$1000="FinishedGood")+(Parts!$C$3:$C$1000="SubAssembly"))*(Parts!$A$3:$A$1000&lt;&gt;"")),ROWS(A$3:A9)),"")</f>
        <v/>
      </c>
      <c r="B9" s="15"/>
      <c r="C9" s="15"/>
      <c r="D9" s="15"/>
    </row>
    <row r="10" spans="1:4" x14ac:dyDescent="0.25">
      <c r="A10" s="16" t="str" cm="1">
        <f t="array" ref="A10">IFERROR(INDEX(_xlfn._xlws.FILTER(Parts!$A$3:$A$1000,((Parts!$C$3:$C$1000="FinishedGood")+(Parts!$C$3:$C$1000="SubAssembly"))*(Parts!$A$3:$A$1000&lt;&gt;"")),ROWS(A$3:A10)),"")</f>
        <v/>
      </c>
      <c r="B10" s="15"/>
      <c r="C10" s="15"/>
      <c r="D10" s="15"/>
    </row>
    <row r="11" spans="1:4" x14ac:dyDescent="0.25">
      <c r="A11" s="16" t="str" cm="1">
        <f t="array" ref="A11">IFERROR(INDEX(_xlfn._xlws.FILTER(Parts!$A$3:$A$1000,((Parts!$C$3:$C$1000="FinishedGood")+(Parts!$C$3:$C$1000="SubAssembly"))*(Parts!$A$3:$A$1000&lt;&gt;"")),ROWS(A$3:A11)),"")</f>
        <v/>
      </c>
      <c r="B11" s="15"/>
      <c r="C11" s="15"/>
      <c r="D11" s="15"/>
    </row>
    <row r="12" spans="1:4" x14ac:dyDescent="0.25">
      <c r="A12" s="16" t="str" cm="1">
        <f t="array" ref="A12">IFERROR(INDEX(_xlfn._xlws.FILTER(Parts!$A$3:$A$1000,((Parts!$C$3:$C$1000="FinishedGood")+(Parts!$C$3:$C$1000="SubAssembly"))*(Parts!$A$3:$A$1000&lt;&gt;"")),ROWS(A$3:A12)),"")</f>
        <v/>
      </c>
      <c r="B12" s="15"/>
      <c r="C12" s="15"/>
      <c r="D12" s="15"/>
    </row>
    <row r="13" spans="1:4" x14ac:dyDescent="0.25">
      <c r="A13" s="16" t="str" cm="1">
        <f t="array" ref="A13">IFERROR(INDEX(_xlfn._xlws.FILTER(Parts!$A$3:$A$1000,((Parts!$C$3:$C$1000="FinishedGood")+(Parts!$C$3:$C$1000="SubAssembly"))*(Parts!$A$3:$A$1000&lt;&gt;"")),ROWS(A$3:A13)),"")</f>
        <v/>
      </c>
      <c r="B13" s="15"/>
      <c r="C13" s="15"/>
      <c r="D13" s="15"/>
    </row>
    <row r="14" spans="1:4" x14ac:dyDescent="0.25">
      <c r="A14" s="16" t="str" cm="1">
        <f t="array" ref="A14">IFERROR(INDEX(_xlfn._xlws.FILTER(Parts!$A$3:$A$1000,((Parts!$C$3:$C$1000="FinishedGood")+(Parts!$C$3:$C$1000="SubAssembly"))*(Parts!$A$3:$A$1000&lt;&gt;"")),ROWS(A$3:A14)),"")</f>
        <v/>
      </c>
      <c r="B14" s="15"/>
      <c r="C14" s="15"/>
      <c r="D14" s="15"/>
    </row>
    <row r="15" spans="1:4" x14ac:dyDescent="0.25">
      <c r="A15" s="16" t="str" cm="1">
        <f t="array" ref="A15">IFERROR(INDEX(_xlfn._xlws.FILTER(Parts!$A$3:$A$1000,((Parts!$C$3:$C$1000="FinishedGood")+(Parts!$C$3:$C$1000="SubAssembly"))*(Parts!$A$3:$A$1000&lt;&gt;"")),ROWS(A$3:A15)),"")</f>
        <v/>
      </c>
      <c r="B15" s="15"/>
      <c r="C15" s="15"/>
      <c r="D15" s="15"/>
    </row>
    <row r="16" spans="1:4" x14ac:dyDescent="0.25">
      <c r="A16" s="16" t="str" cm="1">
        <f t="array" ref="A16">IFERROR(INDEX(_xlfn._xlws.FILTER(Parts!$A$3:$A$1000,((Parts!$C$3:$C$1000="FinishedGood")+(Parts!$C$3:$C$1000="SubAssembly"))*(Parts!$A$3:$A$1000&lt;&gt;"")),ROWS(A$3:A16)),"")</f>
        <v/>
      </c>
      <c r="B16" s="15"/>
      <c r="C16" s="15"/>
      <c r="D16" s="15"/>
    </row>
    <row r="17" spans="1:4" x14ac:dyDescent="0.25">
      <c r="A17" s="16" t="str" cm="1">
        <f t="array" ref="A17">IFERROR(INDEX(_xlfn._xlws.FILTER(Parts!$A$3:$A$1000,((Parts!$C$3:$C$1000="FinishedGood")+(Parts!$C$3:$C$1000="SubAssembly"))*(Parts!$A$3:$A$1000&lt;&gt;"")),ROWS(A$3:A17)),"")</f>
        <v/>
      </c>
      <c r="B17" s="15"/>
      <c r="C17" s="15"/>
      <c r="D17" s="15"/>
    </row>
    <row r="18" spans="1:4" x14ac:dyDescent="0.25">
      <c r="A18" s="16" t="str" cm="1">
        <f t="array" ref="A18">IFERROR(INDEX(_xlfn._xlws.FILTER(Parts!$A$3:$A$1000,((Parts!$C$3:$C$1000="FinishedGood")+(Parts!$C$3:$C$1000="SubAssembly"))*(Parts!$A$3:$A$1000&lt;&gt;"")),ROWS(A$3:A18)),"")</f>
        <v/>
      </c>
      <c r="B18" s="15"/>
      <c r="C18" s="15"/>
      <c r="D18" s="15"/>
    </row>
    <row r="19" spans="1:4" x14ac:dyDescent="0.25">
      <c r="A19" s="16" t="str" cm="1">
        <f t="array" ref="A19">IFERROR(INDEX(_xlfn._xlws.FILTER(Parts!$A$3:$A$1000,((Parts!$C$3:$C$1000="FinishedGood")+(Parts!$C$3:$C$1000="SubAssembly"))*(Parts!$A$3:$A$1000&lt;&gt;"")),ROWS(A$3:A19)),"")</f>
        <v/>
      </c>
      <c r="B19" s="15"/>
      <c r="C19" s="15"/>
      <c r="D19" s="15"/>
    </row>
    <row r="20" spans="1:4" x14ac:dyDescent="0.25">
      <c r="A20" s="16" t="str" cm="1">
        <f t="array" ref="A20">IFERROR(INDEX(_xlfn._xlws.FILTER(Parts!$A$3:$A$1000,((Parts!$C$3:$C$1000="FinishedGood")+(Parts!$C$3:$C$1000="SubAssembly"))*(Parts!$A$3:$A$1000&lt;&gt;"")),ROWS(A$3:A20)),"")</f>
        <v/>
      </c>
      <c r="B20" s="15"/>
      <c r="C20" s="15"/>
      <c r="D20" s="15"/>
    </row>
    <row r="21" spans="1:4" x14ac:dyDescent="0.25">
      <c r="A21" s="16" t="str" cm="1">
        <f t="array" ref="A21">IFERROR(INDEX(_xlfn._xlws.FILTER(Parts!$A$3:$A$1000,((Parts!$C$3:$C$1000="FinishedGood")+(Parts!$C$3:$C$1000="SubAssembly"))*(Parts!$A$3:$A$1000&lt;&gt;"")),ROWS(A$3:A21)),"")</f>
        <v/>
      </c>
      <c r="B21" s="15"/>
      <c r="C21" s="15"/>
      <c r="D21" s="15"/>
    </row>
    <row r="22" spans="1:4" x14ac:dyDescent="0.25">
      <c r="A22" s="16" t="str" cm="1">
        <f t="array" ref="A22">IFERROR(INDEX(_xlfn._xlws.FILTER(Parts!$A$3:$A$1000,((Parts!$C$3:$C$1000="FinishedGood")+(Parts!$C$3:$C$1000="SubAssembly"))*(Parts!$A$3:$A$1000&lt;&gt;"")),ROWS(A$3:A22)),"")</f>
        <v/>
      </c>
      <c r="B22" s="15"/>
      <c r="C22" s="15"/>
      <c r="D22" s="15"/>
    </row>
    <row r="23" spans="1:4" x14ac:dyDescent="0.25">
      <c r="A23" s="16" t="str" cm="1">
        <f t="array" ref="A23">IFERROR(INDEX(_xlfn._xlws.FILTER(Parts!$A$3:$A$1000,((Parts!$C$3:$C$1000="FinishedGood")+(Parts!$C$3:$C$1000="SubAssembly"))*(Parts!$A$3:$A$1000&lt;&gt;"")),ROWS(A$3:A23)),"")</f>
        <v/>
      </c>
      <c r="B23" s="15"/>
      <c r="C23" s="15"/>
      <c r="D23" s="15"/>
    </row>
    <row r="24" spans="1:4" x14ac:dyDescent="0.25">
      <c r="A24" s="16" t="str" cm="1">
        <f t="array" ref="A24">IFERROR(INDEX(_xlfn._xlws.FILTER(Parts!$A$3:$A$1000,((Parts!$C$3:$C$1000="FinishedGood")+(Parts!$C$3:$C$1000="SubAssembly"))*(Parts!$A$3:$A$1000&lt;&gt;"")),ROWS(A$3:A24)),"")</f>
        <v/>
      </c>
      <c r="B24" s="15"/>
      <c r="C24" s="15"/>
      <c r="D24" s="15"/>
    </row>
    <row r="25" spans="1:4" x14ac:dyDescent="0.25">
      <c r="A25" s="16" t="str" cm="1">
        <f t="array" ref="A25">IFERROR(INDEX(_xlfn._xlws.FILTER(Parts!$A$3:$A$1000,((Parts!$C$3:$C$1000="FinishedGood")+(Parts!$C$3:$C$1000="SubAssembly"))*(Parts!$A$3:$A$1000&lt;&gt;"")),ROWS(A$3:A25)),"")</f>
        <v/>
      </c>
      <c r="B25" s="15"/>
      <c r="C25" s="15"/>
      <c r="D25" s="15"/>
    </row>
    <row r="26" spans="1:4" x14ac:dyDescent="0.25">
      <c r="A26" s="16" t="str" cm="1">
        <f t="array" ref="A26">IFERROR(INDEX(_xlfn._xlws.FILTER(Parts!$A$3:$A$1000,((Parts!$C$3:$C$1000="FinishedGood")+(Parts!$C$3:$C$1000="SubAssembly"))*(Parts!$A$3:$A$1000&lt;&gt;"")),ROWS(A$3:A26)),"")</f>
        <v/>
      </c>
      <c r="B26" s="15"/>
      <c r="C26" s="15"/>
      <c r="D26" s="15"/>
    </row>
    <row r="27" spans="1:4" x14ac:dyDescent="0.25">
      <c r="A27" s="16" t="str" cm="1">
        <f t="array" ref="A27">IFERROR(INDEX(_xlfn._xlws.FILTER(Parts!$A$3:$A$1000,((Parts!$C$3:$C$1000="FinishedGood")+(Parts!$C$3:$C$1000="SubAssembly"))*(Parts!$A$3:$A$1000&lt;&gt;"")),ROWS(A$3:A27)),"")</f>
        <v/>
      </c>
      <c r="B27" s="15"/>
      <c r="C27" s="15"/>
      <c r="D27" s="15"/>
    </row>
    <row r="28" spans="1:4" x14ac:dyDescent="0.25">
      <c r="A28" s="16" t="str" cm="1">
        <f t="array" ref="A28">IFERROR(INDEX(_xlfn._xlws.FILTER(Parts!$A$3:$A$1000,((Parts!$C$3:$C$1000="FinishedGood")+(Parts!$C$3:$C$1000="SubAssembly"))*(Parts!$A$3:$A$1000&lt;&gt;"")),ROWS(A$3:A28)),"")</f>
        <v/>
      </c>
      <c r="B28" s="15"/>
      <c r="C28" s="15"/>
      <c r="D28" s="15"/>
    </row>
    <row r="29" spans="1:4" x14ac:dyDescent="0.25">
      <c r="A29" s="16" t="str" cm="1">
        <f t="array" ref="A29">IFERROR(INDEX(_xlfn._xlws.FILTER(Parts!$A$3:$A$1000,((Parts!$C$3:$C$1000="FinishedGood")+(Parts!$C$3:$C$1000="SubAssembly"))*(Parts!$A$3:$A$1000&lt;&gt;"")),ROWS(A$3:A29)),"")</f>
        <v/>
      </c>
      <c r="B29" s="15"/>
      <c r="C29" s="15"/>
      <c r="D29" s="15"/>
    </row>
    <row r="30" spans="1:4" x14ac:dyDescent="0.25">
      <c r="A30" s="16" t="str" cm="1">
        <f t="array" ref="A30">IFERROR(INDEX(_xlfn._xlws.FILTER(Parts!$A$3:$A$1000,((Parts!$C$3:$C$1000="FinishedGood")+(Parts!$C$3:$C$1000="SubAssembly"))*(Parts!$A$3:$A$1000&lt;&gt;"")),ROWS(A$3:A30)),"")</f>
        <v/>
      </c>
      <c r="B30" s="15"/>
      <c r="C30" s="15"/>
      <c r="D30" s="15"/>
    </row>
    <row r="31" spans="1:4" x14ac:dyDescent="0.25">
      <c r="A31" s="16" t="str" cm="1">
        <f t="array" ref="A31">IFERROR(INDEX(_xlfn._xlws.FILTER(Parts!$A$3:$A$1000,((Parts!$C$3:$C$1000="FinishedGood")+(Parts!$C$3:$C$1000="SubAssembly"))*(Parts!$A$3:$A$1000&lt;&gt;"")),ROWS(A$3:A31)),"")</f>
        <v/>
      </c>
      <c r="B31" s="15"/>
      <c r="C31" s="15"/>
      <c r="D31" s="15"/>
    </row>
    <row r="32" spans="1:4" x14ac:dyDescent="0.25">
      <c r="A32" s="16" t="str" cm="1">
        <f t="array" ref="A32">IFERROR(INDEX(_xlfn._xlws.FILTER(Parts!$A$3:$A$1000,((Parts!$C$3:$C$1000="FinishedGood")+(Parts!$C$3:$C$1000="SubAssembly"))*(Parts!$A$3:$A$1000&lt;&gt;"")),ROWS(A$3:A32)),"")</f>
        <v/>
      </c>
      <c r="B32" s="15"/>
      <c r="C32" s="15"/>
      <c r="D32" s="15"/>
    </row>
    <row r="33" spans="1:4" x14ac:dyDescent="0.25">
      <c r="A33" s="16" t="str" cm="1">
        <f t="array" ref="A33">IFERROR(INDEX(_xlfn._xlws.FILTER(Parts!$A$3:$A$1000,((Parts!$C$3:$C$1000="FinishedGood")+(Parts!$C$3:$C$1000="SubAssembly"))*(Parts!$A$3:$A$1000&lt;&gt;"")),ROWS(A$3:A33)),"")</f>
        <v/>
      </c>
      <c r="B33" s="15"/>
      <c r="C33" s="15"/>
      <c r="D33" s="15"/>
    </row>
    <row r="34" spans="1:4" x14ac:dyDescent="0.25">
      <c r="A34" s="16" t="str" cm="1">
        <f t="array" ref="A34">IFERROR(INDEX(_xlfn._xlws.FILTER(Parts!$A$3:$A$1000,((Parts!$C$3:$C$1000="FinishedGood")+(Parts!$C$3:$C$1000="SubAssembly"))*(Parts!$A$3:$A$1000&lt;&gt;"")),ROWS(A$3:A34)),"")</f>
        <v/>
      </c>
      <c r="B34" s="15"/>
      <c r="C34" s="15"/>
      <c r="D34" s="15"/>
    </row>
    <row r="35" spans="1:4" x14ac:dyDescent="0.25">
      <c r="A35" s="16" t="str" cm="1">
        <f t="array" ref="A35">IFERROR(INDEX(_xlfn._xlws.FILTER(Parts!$A$3:$A$1000,((Parts!$C$3:$C$1000="FinishedGood")+(Parts!$C$3:$C$1000="SubAssembly"))*(Parts!$A$3:$A$1000&lt;&gt;"")),ROWS(A$3:A35)),"")</f>
        <v/>
      </c>
      <c r="B35" s="15"/>
      <c r="C35" s="15"/>
      <c r="D35" s="15"/>
    </row>
    <row r="36" spans="1:4" x14ac:dyDescent="0.25">
      <c r="A36" s="16" t="str" cm="1">
        <f t="array" ref="A36">IFERROR(INDEX(_xlfn._xlws.FILTER(Parts!$A$3:$A$1000,((Parts!$C$3:$C$1000="FinishedGood")+(Parts!$C$3:$C$1000="SubAssembly"))*(Parts!$A$3:$A$1000&lt;&gt;"")),ROWS(A$3:A36)),"")</f>
        <v/>
      </c>
      <c r="B36" s="15"/>
      <c r="C36" s="15"/>
      <c r="D36" s="15"/>
    </row>
    <row r="37" spans="1:4" x14ac:dyDescent="0.25">
      <c r="A37" s="16" t="str" cm="1">
        <f t="array" ref="A37">IFERROR(INDEX(_xlfn._xlws.FILTER(Parts!$A$3:$A$1000,((Parts!$C$3:$C$1000="FinishedGood")+(Parts!$C$3:$C$1000="SubAssembly"))*(Parts!$A$3:$A$1000&lt;&gt;"")),ROWS(A$3:A37)),"")</f>
        <v/>
      </c>
      <c r="B37" s="15"/>
      <c r="C37" s="15"/>
      <c r="D37" s="15"/>
    </row>
    <row r="38" spans="1:4" x14ac:dyDescent="0.25">
      <c r="A38" s="16" t="str" cm="1">
        <f t="array" ref="A38">IFERROR(INDEX(_xlfn._xlws.FILTER(Parts!$A$3:$A$1000,((Parts!$C$3:$C$1000="FinishedGood")+(Parts!$C$3:$C$1000="SubAssembly"))*(Parts!$A$3:$A$1000&lt;&gt;"")),ROWS(A$3:A38)),"")</f>
        <v/>
      </c>
      <c r="B38" s="15"/>
      <c r="C38" s="15"/>
      <c r="D38" s="15"/>
    </row>
    <row r="39" spans="1:4" x14ac:dyDescent="0.25">
      <c r="A39" s="16" t="str" cm="1">
        <f t="array" ref="A39">IFERROR(INDEX(_xlfn._xlws.FILTER(Parts!$A$3:$A$1000,((Parts!$C$3:$C$1000="FinishedGood")+(Parts!$C$3:$C$1000="SubAssembly"))*(Parts!$A$3:$A$1000&lt;&gt;"")),ROWS(A$3:A39)),"")</f>
        <v/>
      </c>
      <c r="B39" s="15"/>
      <c r="C39" s="15"/>
      <c r="D39" s="15"/>
    </row>
    <row r="40" spans="1:4" x14ac:dyDescent="0.25">
      <c r="A40" s="16" t="str" cm="1">
        <f t="array" ref="A40">IFERROR(INDEX(_xlfn._xlws.FILTER(Parts!$A$3:$A$1000,((Parts!$C$3:$C$1000="FinishedGood")+(Parts!$C$3:$C$1000="SubAssembly"))*(Parts!$A$3:$A$1000&lt;&gt;"")),ROWS(A$3:A40)),"")</f>
        <v/>
      </c>
      <c r="B40" s="15"/>
      <c r="C40" s="15"/>
      <c r="D40" s="15"/>
    </row>
    <row r="41" spans="1:4" x14ac:dyDescent="0.25">
      <c r="A41" s="16" t="str" cm="1">
        <f t="array" ref="A41">IFERROR(INDEX(_xlfn._xlws.FILTER(Parts!$A$3:$A$1000,((Parts!$C$3:$C$1000="FinishedGood")+(Parts!$C$3:$C$1000="SubAssembly"))*(Parts!$A$3:$A$1000&lt;&gt;"")),ROWS(A$3:A41)),"")</f>
        <v/>
      </c>
      <c r="B41" s="15"/>
      <c r="C41" s="15"/>
      <c r="D41" s="15"/>
    </row>
    <row r="42" spans="1:4" x14ac:dyDescent="0.25">
      <c r="A42" s="16" t="str" cm="1">
        <f t="array" ref="A42">IFERROR(INDEX(_xlfn._xlws.FILTER(Parts!$A$3:$A$1000,((Parts!$C$3:$C$1000="FinishedGood")+(Parts!$C$3:$C$1000="SubAssembly"))*(Parts!$A$3:$A$1000&lt;&gt;"")),ROWS(A$3:A42)),"")</f>
        <v/>
      </c>
      <c r="B42" s="15"/>
      <c r="C42" s="15"/>
      <c r="D42" s="15"/>
    </row>
    <row r="43" spans="1:4" x14ac:dyDescent="0.25">
      <c r="A43" s="16" t="str" cm="1">
        <f t="array" ref="A43">IFERROR(INDEX(_xlfn._xlws.FILTER(Parts!$A$3:$A$1000,((Parts!$C$3:$C$1000="FinishedGood")+(Parts!$C$3:$C$1000="SubAssembly"))*(Parts!$A$3:$A$1000&lt;&gt;"")),ROWS(A$3:A43)),"")</f>
        <v/>
      </c>
      <c r="B43" s="15"/>
      <c r="C43" s="15"/>
      <c r="D43" s="15"/>
    </row>
    <row r="44" spans="1:4" x14ac:dyDescent="0.25">
      <c r="A44" s="16" t="str" cm="1">
        <f t="array" ref="A44">IFERROR(INDEX(_xlfn._xlws.FILTER(Parts!$A$3:$A$1000,((Parts!$C$3:$C$1000="FinishedGood")+(Parts!$C$3:$C$1000="SubAssembly"))*(Parts!$A$3:$A$1000&lt;&gt;"")),ROWS(A$3:A44)),"")</f>
        <v/>
      </c>
      <c r="B44" s="15"/>
      <c r="C44" s="15"/>
      <c r="D44" s="15"/>
    </row>
    <row r="45" spans="1:4" x14ac:dyDescent="0.25">
      <c r="A45" s="16" t="str" cm="1">
        <f t="array" ref="A45">IFERROR(INDEX(_xlfn._xlws.FILTER(Parts!$A$3:$A$1000,((Parts!$C$3:$C$1000="FinishedGood")+(Parts!$C$3:$C$1000="SubAssembly"))*(Parts!$A$3:$A$1000&lt;&gt;"")),ROWS(A$3:A45)),"")</f>
        <v/>
      </c>
      <c r="B45" s="15"/>
      <c r="C45" s="15"/>
      <c r="D45" s="15"/>
    </row>
    <row r="46" spans="1:4" x14ac:dyDescent="0.25">
      <c r="A46" s="16" t="str" cm="1">
        <f t="array" ref="A46">IFERROR(INDEX(_xlfn._xlws.FILTER(Parts!$A$3:$A$1000,((Parts!$C$3:$C$1000="FinishedGood")+(Parts!$C$3:$C$1000="SubAssembly"))*(Parts!$A$3:$A$1000&lt;&gt;"")),ROWS(A$3:A46)),"")</f>
        <v/>
      </c>
      <c r="B46" s="15"/>
      <c r="C46" s="15"/>
      <c r="D46" s="15"/>
    </row>
    <row r="47" spans="1:4" x14ac:dyDescent="0.25">
      <c r="A47" s="16" t="str" cm="1">
        <f t="array" ref="A47">IFERROR(INDEX(_xlfn._xlws.FILTER(Parts!$A$3:$A$1000,((Parts!$C$3:$C$1000="FinishedGood")+(Parts!$C$3:$C$1000="SubAssembly"))*(Parts!$A$3:$A$1000&lt;&gt;"")),ROWS(A$3:A47)),"")</f>
        <v/>
      </c>
      <c r="B47" s="15"/>
      <c r="C47" s="15"/>
      <c r="D47" s="15"/>
    </row>
    <row r="48" spans="1:4" x14ac:dyDescent="0.25">
      <c r="A48" s="16" t="str" cm="1">
        <f t="array" ref="A48">IFERROR(INDEX(_xlfn._xlws.FILTER(Parts!$A$3:$A$1000,((Parts!$C$3:$C$1000="FinishedGood")+(Parts!$C$3:$C$1000="SubAssembly"))*(Parts!$A$3:$A$1000&lt;&gt;"")),ROWS(A$3:A48)),"")</f>
        <v/>
      </c>
      <c r="B48" s="15"/>
      <c r="C48" s="15"/>
      <c r="D48" s="15"/>
    </row>
    <row r="49" spans="1:4" x14ac:dyDescent="0.25">
      <c r="A49" s="16" t="str" cm="1">
        <f t="array" ref="A49">IFERROR(INDEX(_xlfn._xlws.FILTER(Parts!$A$3:$A$1000,((Parts!$C$3:$C$1000="FinishedGood")+(Parts!$C$3:$C$1000="SubAssembly"))*(Parts!$A$3:$A$1000&lt;&gt;"")),ROWS(A$3:A49)),"")</f>
        <v/>
      </c>
      <c r="B49" s="15"/>
      <c r="C49" s="15"/>
      <c r="D49" s="15"/>
    </row>
    <row r="50" spans="1:4" x14ac:dyDescent="0.25">
      <c r="A50" s="16" t="str" cm="1">
        <f t="array" ref="A50">IFERROR(INDEX(_xlfn._xlws.FILTER(Parts!$A$3:$A$1000,((Parts!$C$3:$C$1000="FinishedGood")+(Parts!$C$3:$C$1000="SubAssembly"))*(Parts!$A$3:$A$1000&lt;&gt;"")),ROWS(A$3:A50)),"")</f>
        <v/>
      </c>
      <c r="B50" s="15"/>
      <c r="C50" s="15"/>
      <c r="D50" s="15"/>
    </row>
    <row r="51" spans="1:4" x14ac:dyDescent="0.25">
      <c r="A51" s="16" t="str" cm="1">
        <f t="array" ref="A51">IFERROR(INDEX(_xlfn._xlws.FILTER(Parts!$A$3:$A$1000,((Parts!$C$3:$C$1000="FinishedGood")+(Parts!$C$3:$C$1000="SubAssembly"))*(Parts!$A$3:$A$1000&lt;&gt;"")),ROWS(A$3:A51)),"")</f>
        <v/>
      </c>
      <c r="B51" s="15"/>
      <c r="C51" s="15"/>
      <c r="D51" s="15"/>
    </row>
    <row r="52" spans="1:4" x14ac:dyDescent="0.25">
      <c r="A52" s="16" t="str" cm="1">
        <f t="array" ref="A52">IFERROR(INDEX(_xlfn._xlws.FILTER(Parts!$A$3:$A$1000,((Parts!$C$3:$C$1000="FinishedGood")+(Parts!$C$3:$C$1000="SubAssembly"))*(Parts!$A$3:$A$1000&lt;&gt;"")),ROWS(A$3:A52)),"")</f>
        <v/>
      </c>
      <c r="B52" s="15"/>
      <c r="C52" s="15"/>
      <c r="D52" s="15"/>
    </row>
    <row r="53" spans="1:4" x14ac:dyDescent="0.25">
      <c r="A53" s="19" t="s">
        <v>48</v>
      </c>
      <c r="B53" s="19" t="s">
        <v>58</v>
      </c>
      <c r="C53" s="19">
        <v>1</v>
      </c>
      <c r="D53" s="19" t="s">
        <v>81</v>
      </c>
    </row>
    <row r="54" spans="1:4" x14ac:dyDescent="0.25">
      <c r="A54" s="19" t="s">
        <v>48</v>
      </c>
      <c r="B54" s="19" t="s">
        <v>78</v>
      </c>
      <c r="C54" s="19">
        <v>19</v>
      </c>
      <c r="D54" s="19" t="s">
        <v>82</v>
      </c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C31F6F-8830-4A25-AB5F-766FE66E7F52}">
          <x14:formula1>
            <xm:f>Parts!$A$3:$A$1000</xm:f>
          </x14:formula1>
          <xm:sqref>A3:A52 B3:B52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Parts</vt:lpstr>
      <vt:lpstr>Packaging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Jacques Potgieter</cp:lastModifiedBy>
  <dcterms:created xsi:type="dcterms:W3CDTF">2026-07-15T16:30:02Z</dcterms:created>
  <dcterms:modified xsi:type="dcterms:W3CDTF">2026-07-15T18:26:39Z</dcterms:modified>
</cp:coreProperties>
</file>